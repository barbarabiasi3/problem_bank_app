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nk\Dropbox\mgt_404_2020\exam\"/>
    </mc:Choice>
  </mc:AlternateContent>
  <xr:revisionPtr revIDLastSave="0" documentId="13_ncr:1_{23405A8E-BE82-4EF4-ACAD-54C0B385215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20-10-21T1652_Grades-MGT_404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346" i="1" l="1"/>
  <c r="BN4" i="1"/>
  <c r="BN3" i="1"/>
  <c r="BH309" i="1"/>
  <c r="BE212" i="1" l="1"/>
  <c r="BE294" i="1" l="1"/>
  <c r="BF294" i="1" s="1"/>
  <c r="BE169" i="1"/>
  <c r="BF169" i="1" s="1"/>
  <c r="BE223" i="1"/>
  <c r="BF223" i="1" s="1"/>
  <c r="BE320" i="1"/>
  <c r="BF320" i="1" s="1"/>
  <c r="BE131" i="1"/>
  <c r="BF131" i="1" s="1"/>
  <c r="BE159" i="1"/>
  <c r="BF159" i="1" s="1"/>
  <c r="BE331" i="1"/>
  <c r="BF331" i="1" s="1"/>
  <c r="BE329" i="1"/>
  <c r="BF329" i="1" s="1"/>
  <c r="BE33" i="1"/>
  <c r="BF33" i="1" s="1"/>
  <c r="BE217" i="1"/>
  <c r="BF217" i="1" s="1"/>
  <c r="BE338" i="1"/>
  <c r="BF338" i="1" s="1"/>
  <c r="BE45" i="1"/>
  <c r="BF45" i="1" s="1"/>
  <c r="BE135" i="1"/>
  <c r="BF135" i="1" s="1"/>
  <c r="BE293" i="1"/>
  <c r="BF293" i="1" s="1"/>
  <c r="BE56" i="1"/>
  <c r="BF56" i="1" s="1"/>
  <c r="BE221" i="1"/>
  <c r="BF221" i="1" s="1"/>
  <c r="BE64" i="1"/>
  <c r="BF64" i="1" s="1"/>
  <c r="BE337" i="1"/>
  <c r="BF337" i="1" s="1"/>
  <c r="BE325" i="1"/>
  <c r="BF325" i="1" s="1"/>
  <c r="BE268" i="1"/>
  <c r="BF268" i="1" s="1"/>
  <c r="BE275" i="1"/>
  <c r="BF275" i="1" s="1"/>
  <c r="BE128" i="1"/>
  <c r="BF128" i="1" s="1"/>
  <c r="BE317" i="1"/>
  <c r="BF317" i="1" s="1"/>
  <c r="BE344" i="1"/>
  <c r="BF344" i="1" s="1"/>
  <c r="BE201" i="1"/>
  <c r="BF201" i="1" s="1"/>
  <c r="BE102" i="1"/>
  <c r="BF102" i="1" s="1"/>
  <c r="BE57" i="1"/>
  <c r="BF57" i="1" s="1"/>
  <c r="BE120" i="1"/>
  <c r="BF120" i="1" s="1"/>
  <c r="BE179" i="1"/>
  <c r="BF179" i="1" s="1"/>
  <c r="BE327" i="1"/>
  <c r="BF327" i="1" s="1"/>
  <c r="BE326" i="1"/>
  <c r="BF326" i="1" s="1"/>
  <c r="BE168" i="1"/>
  <c r="BF168" i="1" s="1"/>
  <c r="BE319" i="1"/>
  <c r="BF319" i="1" s="1"/>
  <c r="BE230" i="1"/>
  <c r="BF230" i="1" s="1"/>
  <c r="BE231" i="1"/>
  <c r="BF231" i="1" s="1"/>
  <c r="BE15" i="1"/>
  <c r="BF15" i="1" s="1"/>
  <c r="BE202" i="1"/>
  <c r="BF202" i="1" s="1"/>
  <c r="BE283" i="1"/>
  <c r="BF283" i="1" s="1"/>
  <c r="BE232" i="1"/>
  <c r="BF232" i="1" s="1"/>
  <c r="BE65" i="1"/>
  <c r="BF65" i="1" s="1"/>
  <c r="BE301" i="1"/>
  <c r="BF301" i="1" s="1"/>
  <c r="BE266" i="1"/>
  <c r="BF266" i="1" s="1"/>
  <c r="BE190" i="1"/>
  <c r="BF190" i="1" s="1"/>
  <c r="BE136" i="1"/>
  <c r="BF136" i="1" s="1"/>
  <c r="BE298" i="1"/>
  <c r="BF298" i="1" s="1"/>
  <c r="BE176" i="1"/>
  <c r="BF176" i="1" s="1"/>
  <c r="BE34" i="1"/>
  <c r="BF34" i="1" s="1"/>
  <c r="BE253" i="1"/>
  <c r="BF253" i="1" s="1"/>
  <c r="BF68" i="1"/>
  <c r="BE27" i="1"/>
  <c r="BF27" i="1" s="1"/>
  <c r="BE180" i="1"/>
  <c r="BF180" i="1" s="1"/>
  <c r="BE138" i="1"/>
  <c r="BF138" i="1" s="1"/>
  <c r="BE208" i="1"/>
  <c r="BF208" i="1" s="1"/>
  <c r="BE109" i="1"/>
  <c r="BF109" i="1" s="1"/>
  <c r="BE85" i="1"/>
  <c r="BF85" i="1" s="1"/>
  <c r="BE196" i="1"/>
  <c r="BF196" i="1" s="1"/>
  <c r="BE117" i="1"/>
  <c r="BF117" i="1" s="1"/>
  <c r="BE186" i="1"/>
  <c r="BF186" i="1" s="1"/>
  <c r="BE4" i="1"/>
  <c r="BF4" i="1" s="1"/>
  <c r="BE261" i="1"/>
  <c r="BF261" i="1" s="1"/>
  <c r="BE29" i="1"/>
  <c r="BF29" i="1" s="1"/>
  <c r="BE54" i="1"/>
  <c r="BF54" i="1" s="1"/>
  <c r="BE107" i="1"/>
  <c r="BF107" i="1" s="1"/>
  <c r="BE343" i="1"/>
  <c r="BF343" i="1" s="1"/>
  <c r="BE63" i="1"/>
  <c r="BF63" i="1" s="1"/>
  <c r="BE74" i="1"/>
  <c r="BF74" i="1" s="1"/>
  <c r="BE277" i="1"/>
  <c r="BF277" i="1" s="1"/>
  <c r="BE70" i="1"/>
  <c r="BF70" i="1" s="1"/>
  <c r="BE100" i="1"/>
  <c r="BF100" i="1" s="1"/>
  <c r="BE289" i="1"/>
  <c r="BF289" i="1" s="1"/>
  <c r="BE23" i="1"/>
  <c r="BF23" i="1" s="1"/>
  <c r="BE336" i="1"/>
  <c r="BF336" i="1" s="1"/>
  <c r="BE292" i="1"/>
  <c r="BF292" i="1" s="1"/>
  <c r="BE242" i="1"/>
  <c r="BF242" i="1" s="1"/>
  <c r="BE192" i="1"/>
  <c r="BF192" i="1" s="1"/>
  <c r="BE86" i="1"/>
  <c r="BF86" i="1" s="1"/>
  <c r="BE272" i="1"/>
  <c r="BF272" i="1" s="1"/>
  <c r="BE246" i="1"/>
  <c r="BF246" i="1" s="1"/>
  <c r="BE197" i="1"/>
  <c r="BF197" i="1" s="1"/>
  <c r="BE236" i="1"/>
  <c r="BF236" i="1" s="1"/>
  <c r="BE43" i="1"/>
  <c r="BF43" i="1" s="1"/>
  <c r="BE203" i="1"/>
  <c r="BF203" i="1" s="1"/>
  <c r="BE160" i="1"/>
  <c r="BF160" i="1" s="1"/>
  <c r="BE171" i="1"/>
  <c r="BF171" i="1" s="1"/>
  <c r="BE155" i="1"/>
  <c r="BF155" i="1" s="1"/>
  <c r="BE254" i="1"/>
  <c r="BF254" i="1" s="1"/>
  <c r="BE58" i="1"/>
  <c r="BF58" i="1" s="1"/>
  <c r="BE273" i="1"/>
  <c r="BF273" i="1" s="1"/>
  <c r="BE66" i="1"/>
  <c r="BF66" i="1" s="1"/>
  <c r="BE87" i="1"/>
  <c r="BF87" i="1" s="1"/>
  <c r="BE20" i="1"/>
  <c r="BF20" i="1" s="1"/>
  <c r="BE279" i="1"/>
  <c r="BF279" i="1" s="1"/>
  <c r="BE55" i="1"/>
  <c r="BF55" i="1" s="1"/>
  <c r="BE148" i="1"/>
  <c r="BF148" i="1" s="1"/>
  <c r="BE142" i="1"/>
  <c r="BF142" i="1" s="1"/>
  <c r="BE11" i="1"/>
  <c r="BF11" i="1" s="1"/>
  <c r="BE215" i="1"/>
  <c r="BF215" i="1" s="1"/>
  <c r="BE139" i="1"/>
  <c r="BF139" i="1" s="1"/>
  <c r="BE59" i="1"/>
  <c r="BF59" i="1" s="1"/>
  <c r="BE140" i="1"/>
  <c r="BF140" i="1" s="1"/>
  <c r="BE157" i="1"/>
  <c r="BF157" i="1" s="1"/>
  <c r="BE295" i="1"/>
  <c r="BF295" i="1" s="1"/>
  <c r="BE267" i="1"/>
  <c r="BF267" i="1" s="1"/>
  <c r="BE94" i="1"/>
  <c r="BF94" i="1" s="1"/>
  <c r="BE240" i="1"/>
  <c r="BF240" i="1" s="1"/>
  <c r="BE8" i="1"/>
  <c r="BF8" i="1" s="1"/>
  <c r="BE335" i="1"/>
  <c r="BF335" i="1" s="1"/>
  <c r="BE274" i="1"/>
  <c r="BF274" i="1" s="1"/>
  <c r="BE108" i="1"/>
  <c r="BF108" i="1" s="1"/>
  <c r="BE257" i="1"/>
  <c r="BF257" i="1" s="1"/>
  <c r="BE244" i="1"/>
  <c r="BF244" i="1" s="1"/>
  <c r="BE88" i="1"/>
  <c r="BF88" i="1" s="1"/>
  <c r="BE248" i="1"/>
  <c r="BF248" i="1" s="1"/>
  <c r="BE38" i="1"/>
  <c r="BF38" i="1" s="1"/>
  <c r="BE111" i="1"/>
  <c r="BF111" i="1" s="1"/>
  <c r="BE321" i="1"/>
  <c r="BF321" i="1" s="1"/>
  <c r="BE130" i="1"/>
  <c r="BF130" i="1" s="1"/>
  <c r="BE75" i="1"/>
  <c r="BF75" i="1" s="1"/>
  <c r="BE218" i="1"/>
  <c r="BF218" i="1" s="1"/>
  <c r="BE302" i="1"/>
  <c r="BF302" i="1" s="1"/>
  <c r="BE78" i="1"/>
  <c r="BF78" i="1" s="1"/>
  <c r="BE222" i="1"/>
  <c r="BF222" i="1" s="1"/>
  <c r="BE227" i="1"/>
  <c r="BF227" i="1" s="1"/>
  <c r="BE249" i="1"/>
  <c r="BF249" i="1" s="1"/>
  <c r="BE39" i="1"/>
  <c r="BF39" i="1" s="1"/>
  <c r="BE21" i="1"/>
  <c r="BF21" i="1" s="1"/>
  <c r="BE137" i="1"/>
  <c r="BF137" i="1" s="1"/>
  <c r="BE259" i="1"/>
  <c r="BF259" i="1" s="1"/>
  <c r="BE224" i="1"/>
  <c r="BF224" i="1" s="1"/>
  <c r="BE233" i="1"/>
  <c r="BF233" i="1" s="1"/>
  <c r="BE285" i="1"/>
  <c r="BF285" i="1" s="1"/>
  <c r="BE13" i="1"/>
  <c r="BF13" i="1" s="1"/>
  <c r="BE250" i="1"/>
  <c r="BF250" i="1" s="1"/>
  <c r="BE95" i="1"/>
  <c r="BF95" i="1" s="1"/>
  <c r="BE210" i="1"/>
  <c r="BF210" i="1" s="1"/>
  <c r="BE234" i="1"/>
  <c r="BF234" i="1" s="1"/>
  <c r="BE263" i="1"/>
  <c r="BF263" i="1" s="1"/>
  <c r="BE9" i="1"/>
  <c r="BF9" i="1" s="1"/>
  <c r="BE115" i="1"/>
  <c r="BF115" i="1" s="1"/>
  <c r="BE40" i="1"/>
  <c r="BF40" i="1" s="1"/>
  <c r="BE42" i="1"/>
  <c r="BF42" i="1" s="1"/>
  <c r="BE205" i="1"/>
  <c r="BF205" i="1" s="1"/>
  <c r="BE10" i="1"/>
  <c r="BF10" i="1" s="1"/>
  <c r="BE258" i="1"/>
  <c r="BF258" i="1" s="1"/>
  <c r="BE121" i="1"/>
  <c r="BF121" i="1" s="1"/>
  <c r="BE206" i="1"/>
  <c r="BF206" i="1" s="1"/>
  <c r="BE22" i="1"/>
  <c r="BF22" i="1" s="1"/>
  <c r="BE280" i="1"/>
  <c r="BF280" i="1" s="1"/>
  <c r="BE19" i="1"/>
  <c r="BF19" i="1" s="1"/>
  <c r="BE300" i="1"/>
  <c r="BF300" i="1" s="1"/>
  <c r="BE328" i="1"/>
  <c r="BF328" i="1" s="1"/>
  <c r="BE264" i="1"/>
  <c r="BF264" i="1" s="1"/>
  <c r="BE132" i="1"/>
  <c r="BF132" i="1" s="1"/>
  <c r="BE287" i="1"/>
  <c r="BF287" i="1" s="1"/>
  <c r="BE198" i="1"/>
  <c r="BF198" i="1" s="1"/>
  <c r="BE209" i="1"/>
  <c r="BF209" i="1" s="1"/>
  <c r="BE125" i="1"/>
  <c r="BF125" i="1" s="1"/>
  <c r="BE106" i="1"/>
  <c r="BF106" i="1" s="1"/>
  <c r="BE5" i="1"/>
  <c r="BF5" i="1" s="1"/>
  <c r="BE25" i="1"/>
  <c r="BF25" i="1" s="1"/>
  <c r="BE89" i="1"/>
  <c r="BF89" i="1" s="1"/>
  <c r="BE220" i="1"/>
  <c r="BF220" i="1" s="1"/>
  <c r="BE314" i="1"/>
  <c r="BF314" i="1" s="1"/>
  <c r="BE187" i="1"/>
  <c r="BF187" i="1" s="1"/>
  <c r="BE247" i="1"/>
  <c r="BF247" i="1" s="1"/>
  <c r="BE241" i="1"/>
  <c r="BF241" i="1" s="1"/>
  <c r="BE103" i="1"/>
  <c r="BF103" i="1" s="1"/>
  <c r="BE112" i="1"/>
  <c r="BF112" i="1" s="1"/>
  <c r="BE251" i="1"/>
  <c r="BF251" i="1" s="1"/>
  <c r="BE282" i="1"/>
  <c r="BF282" i="1" s="1"/>
  <c r="BE76" i="1"/>
  <c r="BF76" i="1" s="1"/>
  <c r="BE99" i="1"/>
  <c r="BF99" i="1" s="1"/>
  <c r="BE71" i="1"/>
  <c r="BF71" i="1" s="1"/>
  <c r="BE16" i="1"/>
  <c r="BF16" i="1" s="1"/>
  <c r="BE260" i="1"/>
  <c r="BF260" i="1" s="1"/>
  <c r="BE271" i="1"/>
  <c r="BF271" i="1" s="1"/>
  <c r="BE50" i="1"/>
  <c r="BF50" i="1" s="1"/>
  <c r="BE341" i="1"/>
  <c r="BF341" i="1" s="1"/>
  <c r="BE170" i="1"/>
  <c r="BF170" i="1" s="1"/>
  <c r="BE14" i="1"/>
  <c r="BF14" i="1" s="1"/>
  <c r="BE48" i="1"/>
  <c r="BF48" i="1" s="1"/>
  <c r="BE286" i="1"/>
  <c r="BF286" i="1" s="1"/>
  <c r="BE239" i="1"/>
  <c r="BF239" i="1" s="1"/>
  <c r="BE118" i="1"/>
  <c r="BF118" i="1" s="1"/>
  <c r="BE199" i="1"/>
  <c r="BF199" i="1" s="1"/>
  <c r="BE310" i="1"/>
  <c r="BF310" i="1" s="1"/>
  <c r="BE51" i="1"/>
  <c r="BF51" i="1" s="1"/>
  <c r="BE133" i="1"/>
  <c r="BF133" i="1" s="1"/>
  <c r="BE36" i="1"/>
  <c r="BF36" i="1" s="1"/>
  <c r="BE181" i="1"/>
  <c r="BF181" i="1" s="1"/>
  <c r="BE124" i="1"/>
  <c r="BF124" i="1" s="1"/>
  <c r="BE342" i="1"/>
  <c r="BF342" i="1" s="1"/>
  <c r="BE228" i="1"/>
  <c r="BF228" i="1" s="1"/>
  <c r="BE306" i="1"/>
  <c r="BF306" i="1" s="1"/>
  <c r="BE315" i="1"/>
  <c r="BF315" i="1" s="1"/>
  <c r="BE225" i="1"/>
  <c r="BF225" i="1" s="1"/>
  <c r="BE177" i="1"/>
  <c r="BF177" i="1" s="1"/>
  <c r="BE313" i="1"/>
  <c r="BF313" i="1" s="1"/>
  <c r="BE270" i="1"/>
  <c r="BF270" i="1" s="1"/>
  <c r="BE104" i="1"/>
  <c r="BF104" i="1" s="1"/>
  <c r="BE154" i="1"/>
  <c r="BF154" i="1" s="1"/>
  <c r="BE193" i="1"/>
  <c r="BF193" i="1" s="1"/>
  <c r="BE243" i="1"/>
  <c r="BF243" i="1" s="1"/>
  <c r="BE41" i="1"/>
  <c r="BF41" i="1" s="1"/>
  <c r="BE156" i="1"/>
  <c r="BF156" i="1" s="1"/>
  <c r="BE60" i="1"/>
  <c r="BF60" i="1" s="1"/>
  <c r="BE144" i="1"/>
  <c r="BF144" i="1" s="1"/>
  <c r="BE69" i="1"/>
  <c r="BF69" i="1" s="1"/>
  <c r="BE80" i="1"/>
  <c r="BF80" i="1" s="1"/>
  <c r="BE200" i="1"/>
  <c r="BF200" i="1" s="1"/>
  <c r="BE158" i="1"/>
  <c r="BF158" i="1" s="1"/>
  <c r="BE72" i="1"/>
  <c r="BF72" i="1" s="1"/>
  <c r="BE276" i="1"/>
  <c r="BF276" i="1" s="1"/>
  <c r="BE262" i="1"/>
  <c r="BF262" i="1" s="1"/>
  <c r="BE6" i="1"/>
  <c r="BF6" i="1" s="1"/>
  <c r="BE119" i="1"/>
  <c r="BF119" i="1" s="1"/>
  <c r="BE113" i="1"/>
  <c r="BF113" i="1" s="1"/>
  <c r="BE17" i="1"/>
  <c r="BF17" i="1" s="1"/>
  <c r="BE178" i="1"/>
  <c r="BF178" i="1" s="1"/>
  <c r="BE122" i="1"/>
  <c r="BF122" i="1" s="1"/>
  <c r="BE188" i="1"/>
  <c r="BF188" i="1" s="1"/>
  <c r="BE150" i="1"/>
  <c r="BF150" i="1" s="1"/>
  <c r="BE151" i="1"/>
  <c r="BF151" i="1" s="1"/>
  <c r="BE81" i="1"/>
  <c r="BF81" i="1" s="1"/>
  <c r="BE67" i="1"/>
  <c r="BF67" i="1" s="1"/>
  <c r="BE189" i="1"/>
  <c r="BF189" i="1" s="1"/>
  <c r="BE52" i="1"/>
  <c r="BF52" i="1" s="1"/>
  <c r="BE24" i="1"/>
  <c r="BF24" i="1" s="1"/>
  <c r="BE340" i="1"/>
  <c r="BF340" i="1" s="1"/>
  <c r="BE147" i="1"/>
  <c r="BF147" i="1" s="1"/>
  <c r="BE172" i="1"/>
  <c r="BF172" i="1" s="1"/>
  <c r="BE323" i="1"/>
  <c r="BF323" i="1" s="1"/>
  <c r="BE211" i="1"/>
  <c r="BF211" i="1" s="1"/>
  <c r="BE296" i="1"/>
  <c r="BF296" i="1" s="1"/>
  <c r="BE303" i="1"/>
  <c r="BF303" i="1" s="1"/>
  <c r="BE307" i="1"/>
  <c r="BF307" i="1" s="1"/>
  <c r="BE92" i="1"/>
  <c r="BF92" i="1" s="1"/>
  <c r="BE96" i="1"/>
  <c r="BF96" i="1" s="1"/>
  <c r="BE37" i="1"/>
  <c r="BF37" i="1" s="1"/>
  <c r="BE265" i="1"/>
  <c r="BF265" i="1" s="1"/>
  <c r="BE49" i="1"/>
  <c r="BF49" i="1" s="1"/>
  <c r="BE334" i="1"/>
  <c r="BF334" i="1" s="1"/>
  <c r="BE229" i="1"/>
  <c r="BF229" i="1" s="1"/>
  <c r="BE312" i="1"/>
  <c r="BF312" i="1" s="1"/>
  <c r="BE152" i="1"/>
  <c r="BF152" i="1" s="1"/>
  <c r="BE194" i="1"/>
  <c r="BF194" i="1" s="1"/>
  <c r="BF126" i="1"/>
  <c r="BE35" i="1"/>
  <c r="BF35" i="1" s="1"/>
  <c r="BE153" i="1"/>
  <c r="BF153" i="1" s="1"/>
  <c r="BE299" i="1"/>
  <c r="BF299" i="1" s="1"/>
  <c r="BE252" i="1"/>
  <c r="BF252" i="1" s="1"/>
  <c r="BE255" i="1"/>
  <c r="BF255" i="1" s="1"/>
  <c r="BE235" i="1"/>
  <c r="BF235" i="1" s="1"/>
  <c r="BE245" i="1"/>
  <c r="BF245" i="1" s="1"/>
  <c r="BE105" i="1"/>
  <c r="BF105" i="1" s="1"/>
  <c r="BE149" i="1"/>
  <c r="BF149" i="1" s="1"/>
  <c r="BE219" i="1"/>
  <c r="BF219" i="1" s="1"/>
  <c r="BE278" i="1"/>
  <c r="BF278" i="1" s="1"/>
  <c r="BE141" i="1"/>
  <c r="BF141" i="1" s="1"/>
  <c r="BE82" i="1"/>
  <c r="BF82" i="1" s="1"/>
  <c r="BE173" i="1"/>
  <c r="BF173" i="1" s="1"/>
  <c r="BE207" i="1"/>
  <c r="BF207" i="1" s="1"/>
  <c r="BE226" i="1"/>
  <c r="BF226" i="1" s="1"/>
  <c r="BE305" i="1"/>
  <c r="BF305" i="1" s="1"/>
  <c r="BE18" i="1"/>
  <c r="BF18" i="1" s="1"/>
  <c r="BE165" i="1"/>
  <c r="BF165" i="1" s="1"/>
  <c r="BE53" i="1"/>
  <c r="BF53" i="1" s="1"/>
  <c r="BF212" i="1"/>
  <c r="BE83" i="1"/>
  <c r="BF83" i="1" s="1"/>
  <c r="BE288" i="1"/>
  <c r="BF288" i="1" s="1"/>
  <c r="BE44" i="1"/>
  <c r="BF44" i="1" s="1"/>
  <c r="BE101" i="1"/>
  <c r="BF101" i="1" s="1"/>
  <c r="BE161" i="1"/>
  <c r="BF161" i="1" s="1"/>
  <c r="BE308" i="1"/>
  <c r="BF308" i="1" s="1"/>
  <c r="BE195" i="1"/>
  <c r="BF195" i="1" s="1"/>
  <c r="BE216" i="1"/>
  <c r="BF216" i="1" s="1"/>
  <c r="BE166" i="1"/>
  <c r="BF166" i="1" s="1"/>
  <c r="BE134" i="1"/>
  <c r="BF134" i="1" s="1"/>
  <c r="BE291" i="1"/>
  <c r="BF291" i="1" s="1"/>
  <c r="BE145" i="1"/>
  <c r="BF145" i="1" s="1"/>
  <c r="BE90" i="1"/>
  <c r="BF90" i="1" s="1"/>
  <c r="BE318" i="1"/>
  <c r="BF318" i="1" s="1"/>
  <c r="BE73" i="1"/>
  <c r="BF73" i="1" s="1"/>
  <c r="BE237" i="1"/>
  <c r="BF237" i="1" s="1"/>
  <c r="BE281" i="1"/>
  <c r="BF281" i="1" s="1"/>
  <c r="BE213" i="1"/>
  <c r="BF213" i="1" s="1"/>
  <c r="BE332" i="1"/>
  <c r="BF332" i="1" s="1"/>
  <c r="BE79" i="1"/>
  <c r="BF79" i="1" s="1"/>
  <c r="BE97" i="1"/>
  <c r="BF97" i="1" s="1"/>
  <c r="BE91" i="1"/>
  <c r="BF91" i="1" s="1"/>
  <c r="BE30" i="1"/>
  <c r="BF30" i="1" s="1"/>
  <c r="BE182" i="1"/>
  <c r="BF182" i="1" s="1"/>
  <c r="BE191" i="1"/>
  <c r="BF191" i="1" s="1"/>
  <c r="BE61" i="1"/>
  <c r="BF61" i="1" s="1"/>
  <c r="BE304" i="1"/>
  <c r="BF304" i="1" s="1"/>
  <c r="BE311" i="1"/>
  <c r="BF311" i="1" s="1"/>
  <c r="BE238" i="1"/>
  <c r="BF238" i="1" s="1"/>
  <c r="BE123" i="1"/>
  <c r="BF123" i="1" s="1"/>
  <c r="BE46" i="1"/>
  <c r="BF46" i="1" s="1"/>
  <c r="BE127" i="1"/>
  <c r="BF127" i="1" s="1"/>
  <c r="BE324" i="1"/>
  <c r="BF324" i="1" s="1"/>
  <c r="BE162" i="1"/>
  <c r="BF162" i="1" s="1"/>
  <c r="BE28" i="1"/>
  <c r="BF28" i="1" s="1"/>
  <c r="BE214" i="1"/>
  <c r="BF214" i="1" s="1"/>
  <c r="BE204" i="1"/>
  <c r="BF204" i="1" s="1"/>
  <c r="BE174" i="1"/>
  <c r="BF174" i="1" s="1"/>
  <c r="BE26" i="1"/>
  <c r="BF26" i="1" s="1"/>
  <c r="BE7" i="1"/>
  <c r="BF7" i="1" s="1"/>
  <c r="BE114" i="1"/>
  <c r="BF114" i="1" s="1"/>
  <c r="BE163" i="1"/>
  <c r="BF163" i="1" s="1"/>
  <c r="BE269" i="1"/>
  <c r="BF269" i="1" s="1"/>
  <c r="BE183" i="1"/>
  <c r="BF183" i="1" s="1"/>
  <c r="BE322" i="1"/>
  <c r="BF322" i="1" s="1"/>
  <c r="BE31" i="1"/>
  <c r="BF31" i="1" s="1"/>
  <c r="BE62" i="1"/>
  <c r="BF62" i="1" s="1"/>
  <c r="BE98" i="1"/>
  <c r="BF98" i="1" s="1"/>
  <c r="BE175" i="1"/>
  <c r="BF175" i="1" s="1"/>
  <c r="BE77" i="1"/>
  <c r="BF77" i="1" s="1"/>
  <c r="BE32" i="1"/>
  <c r="BF32" i="1" s="1"/>
  <c r="BE339" i="1"/>
  <c r="BF339" i="1" s="1"/>
  <c r="BE256" i="1"/>
  <c r="BF256" i="1" s="1"/>
  <c r="BE330" i="1"/>
  <c r="BF330" i="1" s="1"/>
  <c r="BE12" i="1"/>
  <c r="BF12" i="1" s="1"/>
  <c r="BE316" i="1"/>
  <c r="BF316" i="1" s="1"/>
  <c r="BE184" i="1"/>
  <c r="BF184" i="1" s="1"/>
  <c r="BE116" i="1"/>
  <c r="BF116" i="1" s="1"/>
  <c r="BF47" i="1"/>
  <c r="BE93" i="1"/>
  <c r="BF93" i="1" s="1"/>
  <c r="BE143" i="1"/>
  <c r="BF143" i="1" s="1"/>
  <c r="BE297" i="1"/>
  <c r="BF297" i="1" s="1"/>
  <c r="BE284" i="1"/>
  <c r="BF284" i="1" s="1"/>
  <c r="BE164" i="1"/>
  <c r="BF164" i="1" s="1"/>
  <c r="BE290" i="1"/>
  <c r="BF290" i="1" s="1"/>
  <c r="BE333" i="1"/>
  <c r="BF333" i="1" s="1"/>
  <c r="BE185" i="1"/>
  <c r="BF185" i="1" s="1"/>
  <c r="BE84" i="1"/>
  <c r="BF84" i="1" s="1"/>
  <c r="BE167" i="1"/>
  <c r="BF167" i="1" s="1"/>
  <c r="BE146" i="1"/>
  <c r="BF146" i="1" s="1"/>
  <c r="BE110" i="1"/>
  <c r="BF110" i="1" s="1"/>
  <c r="BE309" i="1"/>
  <c r="BF309" i="1" s="1"/>
  <c r="BE129" i="1"/>
  <c r="BF129" i="1" s="1"/>
  <c r="BL6" i="1" l="1"/>
  <c r="BJ13" i="1" s="1"/>
  <c r="BJ6" i="1"/>
  <c r="BJ5" i="1"/>
  <c r="BL8" i="1"/>
  <c r="BL3" i="1"/>
  <c r="BL5" i="1"/>
  <c r="BJ12" i="1" s="1"/>
  <c r="BL7" i="1"/>
  <c r="BJ14" i="1" s="1"/>
  <c r="BL4" i="1"/>
  <c r="BJ3" i="1"/>
  <c r="BJ4" i="1"/>
  <c r="BK14" i="1" l="1"/>
  <c r="BK13" i="1"/>
  <c r="BK15" i="1"/>
  <c r="BK12" i="1"/>
  <c r="BL12" i="1" l="1"/>
  <c r="BL14" i="1"/>
  <c r="BL15" i="1"/>
  <c r="BL13" i="1"/>
</calcChain>
</file>

<file path=xl/sharedStrings.xml><?xml version="1.0" encoding="utf-8"?>
<sst xmlns="http://schemas.openxmlformats.org/spreadsheetml/2006/main" count="7623" uniqueCount="765">
  <si>
    <t>Student</t>
  </si>
  <si>
    <t>ID</t>
  </si>
  <si>
    <t>SIS User ID</t>
  </si>
  <si>
    <t>SIS Login ID</t>
  </si>
  <si>
    <t>Root Account</t>
  </si>
  <si>
    <t>Section</t>
  </si>
  <si>
    <t>Problem Set 1  (183807)</t>
  </si>
  <si>
    <t>Problem Set 2 (182350)</t>
  </si>
  <si>
    <t>Problem Set 3 (182351)</t>
  </si>
  <si>
    <t>Econ Readings Lecture 1 (182353)</t>
  </si>
  <si>
    <t>Econ Readings Lecture 1 (182354)</t>
  </si>
  <si>
    <t>Econ Readings Lecture 1 (182355)</t>
  </si>
  <si>
    <t>Econ Readings Lecture 1 (182356)</t>
  </si>
  <si>
    <t>Econ Readings Lecture 1 (182357)</t>
  </si>
  <si>
    <t>Econ Readings Lecture 2 (182358)</t>
  </si>
  <si>
    <t>Econ Readings Lecture 2 (182359)</t>
  </si>
  <si>
    <t>Econ Readings Lecture 2 (182362)</t>
  </si>
  <si>
    <t>Econ Readings Lecture 2 (182361)</t>
  </si>
  <si>
    <t>Econ Readings Lecture 2 (182360)</t>
  </si>
  <si>
    <t>Econ Readings Lecture 5 (186318)</t>
  </si>
  <si>
    <t>Econ Readings Lecture 5 (186319)</t>
  </si>
  <si>
    <t>Econ Readings Lecture 5 (186320)</t>
  </si>
  <si>
    <t>Econ Readings Lecture 5 (186321)</t>
  </si>
  <si>
    <t>Econ Readings Lecture 5 (186322)</t>
  </si>
  <si>
    <t>Econ Readings Lecture 6 (186323)</t>
  </si>
  <si>
    <t>Econ Readings Lecture 6 (186324)</t>
  </si>
  <si>
    <t>Econ Readings Lecture 6 (186325)</t>
  </si>
  <si>
    <t>Econ Readings Lecture 6 (186326)</t>
  </si>
  <si>
    <t>Econ Readings Lecture 6 (186327)</t>
  </si>
  <si>
    <t>Final Exam (Econ + Game Theory) - MODIFIED TIME (193928)</t>
  </si>
  <si>
    <t>Final Exam (Econ + Game Theory) (182352)</t>
  </si>
  <si>
    <t>Class Participation (186851)</t>
  </si>
  <si>
    <t>Assignments Current Score</t>
  </si>
  <si>
    <t>Assignments Unposted Current Score</t>
  </si>
  <si>
    <t>Assignments Final Score</t>
  </si>
  <si>
    <t>Assignments Unposted Final Score</t>
  </si>
  <si>
    <t>Readings Current Score</t>
  </si>
  <si>
    <t>Readings Unposted Current Score</t>
  </si>
  <si>
    <t>Readings Final Score</t>
  </si>
  <si>
    <t>Readings Unposted Final Score</t>
  </si>
  <si>
    <t>Imported Assignments Current Score</t>
  </si>
  <si>
    <t>Imported Assignments Unposted Current Score</t>
  </si>
  <si>
    <t>Imported Assignments Final Score</t>
  </si>
  <si>
    <t>Imported Assignments Unposted Final Score</t>
  </si>
  <si>
    <t>Exam Current Score</t>
  </si>
  <si>
    <t>Exam Unposted Current Score</t>
  </si>
  <si>
    <t>Exam Final Score</t>
  </si>
  <si>
    <t>Exam Unposted Final Score</t>
  </si>
  <si>
    <t>Participation Current Score</t>
  </si>
  <si>
    <t>Participation Unposted Current Score</t>
  </si>
  <si>
    <t>Participation Final Score</t>
  </si>
  <si>
    <t>Participation Unposted Final Score</t>
  </si>
  <si>
    <t>Current Score</t>
  </si>
  <si>
    <t>Unposted Current Score</t>
  </si>
  <si>
    <t>Final Score</t>
  </si>
  <si>
    <t>Unposted Final Score</t>
  </si>
  <si>
    <t>Manual Posting</t>
  </si>
  <si>
    <t xml:space="preserve">    Points Possible</t>
  </si>
  <si>
    <t>(read only)</t>
  </si>
  <si>
    <t>Abt, Brian</t>
  </si>
  <si>
    <t>bca28</t>
  </si>
  <si>
    <t>yale.instructure.com</t>
  </si>
  <si>
    <t>MGT 404 05</t>
  </si>
  <si>
    <t>N/A</t>
  </si>
  <si>
    <t>Agrawal, Shan</t>
  </si>
  <si>
    <t>sa2286</t>
  </si>
  <si>
    <t>MGT 404 01</t>
  </si>
  <si>
    <t>AlAggad, Haya</t>
  </si>
  <si>
    <t>ha283</t>
  </si>
  <si>
    <t>MGT 404 02</t>
  </si>
  <si>
    <t>Allocca, Billy</t>
  </si>
  <si>
    <t>wwa3</t>
  </si>
  <si>
    <t>MGT 404 03</t>
  </si>
  <si>
    <t>Aly, Yousef</t>
  </si>
  <si>
    <t>ysa5</t>
  </si>
  <si>
    <t>An, Cathy</t>
  </si>
  <si>
    <t>xa32</t>
  </si>
  <si>
    <t>MGT 404 04</t>
  </si>
  <si>
    <t>Anderson, Ashlyn</t>
  </si>
  <si>
    <t>aaa239</t>
  </si>
  <si>
    <t>Antonovsky, Shir</t>
  </si>
  <si>
    <t>sa2285</t>
  </si>
  <si>
    <t>Archuleta, Matthew</t>
  </si>
  <si>
    <t>mja95</t>
  </si>
  <si>
    <t>Argenziano, Anthony</t>
  </si>
  <si>
    <t>asa89</t>
  </si>
  <si>
    <t>Aujla, Gursean</t>
  </si>
  <si>
    <t>gsa29</t>
  </si>
  <si>
    <t>Averna, Emily</t>
  </si>
  <si>
    <t>eha5</t>
  </si>
  <si>
    <t>Avilez Vazquez, Eduardo</t>
  </si>
  <si>
    <t>ea546</t>
  </si>
  <si>
    <t>Bae, Seungryul</t>
  </si>
  <si>
    <t>sb2789</t>
  </si>
  <si>
    <t>Bajuz, Michael</t>
  </si>
  <si>
    <t>mb3287</t>
  </si>
  <si>
    <t>Barry, Jack</t>
  </si>
  <si>
    <t>jab434</t>
  </si>
  <si>
    <t>Beacham, Kalen</t>
  </si>
  <si>
    <t>kjb72</t>
  </si>
  <si>
    <t>Belibi, Axel</t>
  </si>
  <si>
    <t>abb62</t>
  </si>
  <si>
    <t>Bening, Felix</t>
  </si>
  <si>
    <t>fbb9</t>
  </si>
  <si>
    <t>Beresh, Rona</t>
  </si>
  <si>
    <t>rsb73</t>
  </si>
  <si>
    <t>Berger, Michael</t>
  </si>
  <si>
    <t>mb3294</t>
  </si>
  <si>
    <t>Bhagat, Mihir</t>
  </si>
  <si>
    <t>mb3292</t>
  </si>
  <si>
    <t>Bhide, Rahul</t>
  </si>
  <si>
    <t>rsb75</t>
  </si>
  <si>
    <t>Billhorn, Jake</t>
  </si>
  <si>
    <t>jab427</t>
  </si>
  <si>
    <t>Birasa, Caroline</t>
  </si>
  <si>
    <t>cmb247</t>
  </si>
  <si>
    <t>Birsan, Davis</t>
  </si>
  <si>
    <t>db2354</t>
  </si>
  <si>
    <t>Boswell, Ethan</t>
  </si>
  <si>
    <t>eeb56</t>
  </si>
  <si>
    <t>Bourne, Daisy</t>
  </si>
  <si>
    <t>drb73</t>
  </si>
  <si>
    <t>Bracewell, Josh</t>
  </si>
  <si>
    <t>jdb259</t>
  </si>
  <si>
    <t>Brant, Andres</t>
  </si>
  <si>
    <t>aob4</t>
  </si>
  <si>
    <t>Brennan, Laura</t>
  </si>
  <si>
    <t>lb986</t>
  </si>
  <si>
    <t>Broussard, Austin</t>
  </si>
  <si>
    <t>akb69</t>
  </si>
  <si>
    <t>Brown, Alex</t>
  </si>
  <si>
    <t>alb258</t>
  </si>
  <si>
    <t>Brown, Phillip</t>
  </si>
  <si>
    <t>pmb73</t>
  </si>
  <si>
    <t>Cafiero, Gillian</t>
  </si>
  <si>
    <t>gmc55</t>
  </si>
  <si>
    <t>Cagniart, Victoire</t>
  </si>
  <si>
    <t>vac36</t>
  </si>
  <si>
    <t>Camp, Catherine</t>
  </si>
  <si>
    <t>cvc8</t>
  </si>
  <si>
    <t>Campos, Joan</t>
  </si>
  <si>
    <t>jcc256</t>
  </si>
  <si>
    <t>Cancela Codina, Matias</t>
  </si>
  <si>
    <t>mc3364</t>
  </si>
  <si>
    <t>Carballo Gallardo, Sergio</t>
  </si>
  <si>
    <t>sec93</t>
  </si>
  <si>
    <t>Cardoso Zuccolo, Bruno</t>
  </si>
  <si>
    <t>bcz7</t>
  </si>
  <si>
    <t>Carey, Madeline</t>
  </si>
  <si>
    <t>mjc263</t>
  </si>
  <si>
    <t>Casares, Mike</t>
  </si>
  <si>
    <t>mac373</t>
  </si>
  <si>
    <t>Catallo, Sarah</t>
  </si>
  <si>
    <t>slc236</t>
  </si>
  <si>
    <t>Chakraborty, Shibashish</t>
  </si>
  <si>
    <t>sc2884</t>
  </si>
  <si>
    <t>Chan, Frances</t>
  </si>
  <si>
    <t>fc448</t>
  </si>
  <si>
    <t>Chan, Rachel</t>
  </si>
  <si>
    <t>ryc8</t>
  </si>
  <si>
    <t>Chang, Rachel</t>
  </si>
  <si>
    <t>jc3753</t>
  </si>
  <si>
    <t>Chao, Leona</t>
  </si>
  <si>
    <t>ljc63</t>
  </si>
  <si>
    <t>Chen, Neng</t>
  </si>
  <si>
    <t>nc598</t>
  </si>
  <si>
    <t>Chen, Nicole</t>
  </si>
  <si>
    <t>yc852</t>
  </si>
  <si>
    <t>Chen, Ruthie</t>
  </si>
  <si>
    <t>ryc9</t>
  </si>
  <si>
    <t>Chen, Vivian</t>
  </si>
  <si>
    <t>vc359</t>
  </si>
  <si>
    <t>Chiao, Derek</t>
  </si>
  <si>
    <t>dc2268</t>
  </si>
  <si>
    <t>Chien, Alice</t>
  </si>
  <si>
    <t>ayc33</t>
  </si>
  <si>
    <t>Choi, Hwun</t>
  </si>
  <si>
    <t>hc757</t>
  </si>
  <si>
    <t>Choi, Samuel</t>
  </si>
  <si>
    <t>yc845</t>
  </si>
  <si>
    <t>Chunduru, Yashwant</t>
  </si>
  <si>
    <t>yc848</t>
  </si>
  <si>
    <t>Clark, Rae</t>
  </si>
  <si>
    <t>rc2267</t>
  </si>
  <si>
    <t>Clouse, Jp</t>
  </si>
  <si>
    <t>jpc84</t>
  </si>
  <si>
    <t>Copeland, Natalie</t>
  </si>
  <si>
    <t>nac58</t>
  </si>
  <si>
    <t>Cortez, Luigi</t>
  </si>
  <si>
    <t>aoc9</t>
  </si>
  <si>
    <t>Crosby, Charlie</t>
  </si>
  <si>
    <t>ckc44</t>
  </si>
  <si>
    <t>Danesh-Pajou, Cameron</t>
  </si>
  <si>
    <t>cad226</t>
  </si>
  <si>
    <t>Daniel, Patricia</t>
  </si>
  <si>
    <t>pd498</t>
  </si>
  <si>
    <t>Daryanani, Pranav</t>
  </si>
  <si>
    <t>pmd36</t>
  </si>
  <si>
    <t>Dash, Anurag</t>
  </si>
  <si>
    <t>ad2445</t>
  </si>
  <si>
    <t>Davidson, Brett</t>
  </si>
  <si>
    <t>bdd25</t>
  </si>
  <si>
    <t>De la Torre, Rodrigo</t>
  </si>
  <si>
    <t>rd797</t>
  </si>
  <si>
    <t>De las Fuentes Eslava, Jose Carlos</t>
  </si>
  <si>
    <t>jd2625</t>
  </si>
  <si>
    <t>De Leon Munoz, Osman</t>
  </si>
  <si>
    <t>od59</t>
  </si>
  <si>
    <t>Deloison-Baum, Michelle</t>
  </si>
  <si>
    <t>md2488</t>
  </si>
  <si>
    <t>Derian, Sara</t>
  </si>
  <si>
    <t>smd226</t>
  </si>
  <si>
    <t>Deuger, Drew</t>
  </si>
  <si>
    <t>ddd28</t>
  </si>
  <si>
    <t>Dhingra, Nina</t>
  </si>
  <si>
    <t>nkd23</t>
  </si>
  <si>
    <t>Dominion, Louis</t>
  </si>
  <si>
    <t>ljd47</t>
  </si>
  <si>
    <t>Doyle, Max</t>
  </si>
  <si>
    <t>mad259</t>
  </si>
  <si>
    <t>Elliman, Henry</t>
  </si>
  <si>
    <t>he98</t>
  </si>
  <si>
    <t>Elnahas, Joseph</t>
  </si>
  <si>
    <t>yme4</t>
  </si>
  <si>
    <t>Emery, Kelly</t>
  </si>
  <si>
    <t>kbe5</t>
  </si>
  <si>
    <t>Engler, Ben</t>
  </si>
  <si>
    <t>bpe6</t>
  </si>
  <si>
    <t>Fan, Yuheng</t>
  </si>
  <si>
    <t>yf269</t>
  </si>
  <si>
    <t>Faroun Amin, Kyrillous</t>
  </si>
  <si>
    <t>ka552</t>
  </si>
  <si>
    <t>Farruggia, Michael</t>
  </si>
  <si>
    <t>mcf53</t>
  </si>
  <si>
    <t>Faza, Samir</t>
  </si>
  <si>
    <t>ssf27</t>
  </si>
  <si>
    <t>Feng, Faye</t>
  </si>
  <si>
    <t>ff256</t>
  </si>
  <si>
    <t>Ferrarese, Valentin</t>
  </si>
  <si>
    <t>vf97</t>
  </si>
  <si>
    <t>Flaherty, Dan</t>
  </si>
  <si>
    <t>wdf22</t>
  </si>
  <si>
    <t>Fleischer, Nicola</t>
  </si>
  <si>
    <t>nf295</t>
  </si>
  <si>
    <t>Frotten, Aileen</t>
  </si>
  <si>
    <t>ahf44</t>
  </si>
  <si>
    <t>Fry, Sean</t>
  </si>
  <si>
    <t>smf93</t>
  </si>
  <si>
    <t>Fung, Emily</t>
  </si>
  <si>
    <t>ef538</t>
  </si>
  <si>
    <t>Gabeljic, Adnan</t>
  </si>
  <si>
    <t>ag2675</t>
  </si>
  <si>
    <t>Gannon, Sarah</t>
  </si>
  <si>
    <t>seg69</t>
  </si>
  <si>
    <t>Gao, Melody</t>
  </si>
  <si>
    <t>xg266</t>
  </si>
  <si>
    <t>Gao, Xuefei</t>
  </si>
  <si>
    <t>xg267</t>
  </si>
  <si>
    <t>Garden, Taylor</t>
  </si>
  <si>
    <t>tg535</t>
  </si>
  <si>
    <t>Goldstein, Sydney</t>
  </si>
  <si>
    <t>seg73</t>
  </si>
  <si>
    <t>Gomez Charry, Juan Pablo</t>
  </si>
  <si>
    <t>jpg67</t>
  </si>
  <si>
    <t>Gonzalez Perez, Susana</t>
  </si>
  <si>
    <t>sdg55</t>
  </si>
  <si>
    <t>Gotcher, Gray</t>
  </si>
  <si>
    <t>ngg25</t>
  </si>
  <si>
    <t>Grant, Paloma</t>
  </si>
  <si>
    <t>plg23</t>
  </si>
  <si>
    <t>Gray, Jason</t>
  </si>
  <si>
    <t>jtg56</t>
  </si>
  <si>
    <t>Green, Yaakov</t>
  </si>
  <si>
    <t>ysg5</t>
  </si>
  <si>
    <t>Gu, Ian</t>
  </si>
  <si>
    <t>yg337</t>
  </si>
  <si>
    <t>Gu, Yue</t>
  </si>
  <si>
    <t>yg373</t>
  </si>
  <si>
    <t>Guo, Lincoln</t>
  </si>
  <si>
    <t>lg726</t>
  </si>
  <si>
    <t>Guo, Zichen</t>
  </si>
  <si>
    <t>zg96</t>
  </si>
  <si>
    <t>Gupta, Karina</t>
  </si>
  <si>
    <t>kg693</t>
  </si>
  <si>
    <t>Haffner, Philippe</t>
  </si>
  <si>
    <t>pah56</t>
  </si>
  <si>
    <t>Hamdan, Adam</t>
  </si>
  <si>
    <t>aah67</t>
  </si>
  <si>
    <t>Hammouri, Dalia</t>
  </si>
  <si>
    <t>dh793</t>
  </si>
  <si>
    <t>Han, Elva</t>
  </si>
  <si>
    <t>yh583</t>
  </si>
  <si>
    <t>Han, Joy</t>
  </si>
  <si>
    <t>zh259</t>
  </si>
  <si>
    <t>Hansen-Gilmour, Grace</t>
  </si>
  <si>
    <t>gkh9</t>
  </si>
  <si>
    <t>Harings, Thomas</t>
  </si>
  <si>
    <t>th687</t>
  </si>
  <si>
    <t>Harmon, Hunter</t>
  </si>
  <si>
    <t>hh356</t>
  </si>
  <si>
    <t>Harokopus, Alexandra</t>
  </si>
  <si>
    <t>alh88</t>
  </si>
  <si>
    <t>Harris, Dan</t>
  </si>
  <si>
    <t>dsh37</t>
  </si>
  <si>
    <t>Healey, Alex</t>
  </si>
  <si>
    <t>aeh65</t>
  </si>
  <si>
    <t>Hicks, Stephen</t>
  </si>
  <si>
    <t>seh222</t>
  </si>
  <si>
    <t>Holler, Jesse</t>
  </si>
  <si>
    <t>jh2869</t>
  </si>
  <si>
    <t>Holm, Alex</t>
  </si>
  <si>
    <t>ah2385</t>
  </si>
  <si>
    <t>Holtz, Harrison</t>
  </si>
  <si>
    <t>hnh7</t>
  </si>
  <si>
    <t>Hosta, Nick</t>
  </si>
  <si>
    <t>nah38</t>
  </si>
  <si>
    <t>Hotz, Nick</t>
  </si>
  <si>
    <t>nfh7</t>
  </si>
  <si>
    <t>Hsia, Joseph</t>
  </si>
  <si>
    <t>ch2256</t>
  </si>
  <si>
    <t>Huang, Candace</t>
  </si>
  <si>
    <t>xh333</t>
  </si>
  <si>
    <t>Huang, X</t>
  </si>
  <si>
    <t>xxh3</t>
  </si>
  <si>
    <t>Huang, Yilong</t>
  </si>
  <si>
    <t>yh582</t>
  </si>
  <si>
    <t>Hulkower, Talia</t>
  </si>
  <si>
    <t>tmh63</t>
  </si>
  <si>
    <t>Hussain, Shabab</t>
  </si>
  <si>
    <t>sfh25</t>
  </si>
  <si>
    <t>Ibbotson-Sindelar, Tim</t>
  </si>
  <si>
    <t>ti85</t>
  </si>
  <si>
    <t>Jackson, Lydia</t>
  </si>
  <si>
    <t>ljj4</t>
  </si>
  <si>
    <t>Jacobs, Andrew</t>
  </si>
  <si>
    <t>asj27</t>
  </si>
  <si>
    <t>James, Caroline</t>
  </si>
  <si>
    <t>cej34</t>
  </si>
  <si>
    <t>Jan, Joanne</t>
  </si>
  <si>
    <t>jtj23</t>
  </si>
  <si>
    <t>Jiang, Maria</t>
  </si>
  <si>
    <t>mwj2</t>
  </si>
  <si>
    <t>Jing, Peiran</t>
  </si>
  <si>
    <t>pj276</t>
  </si>
  <si>
    <t>Johnson, Collin</t>
  </si>
  <si>
    <t>cjj9</t>
  </si>
  <si>
    <t>Julian, Huston</t>
  </si>
  <si>
    <t>hbj4</t>
  </si>
  <si>
    <t>Julian, Nicole</t>
  </si>
  <si>
    <t>ndj6</t>
  </si>
  <si>
    <t>Junankar, Priyanka</t>
  </si>
  <si>
    <t>ppj3</t>
  </si>
  <si>
    <t>Juthani, Prerak</t>
  </si>
  <si>
    <t>pvj3</t>
  </si>
  <si>
    <t>Kaiser, Andrew</t>
  </si>
  <si>
    <t>ajk53</t>
  </si>
  <si>
    <t>Kanamaru, Kenjiro</t>
  </si>
  <si>
    <t>kk885</t>
  </si>
  <si>
    <t>Kandula, Ikya</t>
  </si>
  <si>
    <t>ik349</t>
  </si>
  <si>
    <t>Kang, Jason</t>
  </si>
  <si>
    <t>tk646</t>
  </si>
  <si>
    <t>Kapoor, Saubhav</t>
  </si>
  <si>
    <t>sk2846</t>
  </si>
  <si>
    <t>Kashyap, James</t>
  </si>
  <si>
    <t>jhk77</t>
  </si>
  <si>
    <t>Kim, Hyung Ki</t>
  </si>
  <si>
    <t>hk647</t>
  </si>
  <si>
    <t>Kim, Sue</t>
  </si>
  <si>
    <t>sbk35</t>
  </si>
  <si>
    <t>Kopec, Kamil</t>
  </si>
  <si>
    <t>kk876</t>
  </si>
  <si>
    <t>Krishnakumar, Aparna</t>
  </si>
  <si>
    <t>ak2663</t>
  </si>
  <si>
    <t>Kulsh, Neha</t>
  </si>
  <si>
    <t>nk558</t>
  </si>
  <si>
    <t>Kumar, Keerthana</t>
  </si>
  <si>
    <t>kk877</t>
  </si>
  <si>
    <t>Kundur, Sri</t>
  </si>
  <si>
    <t>sk2849</t>
  </si>
  <si>
    <t>Kuntz Ferreira, Ana</t>
  </si>
  <si>
    <t>ak2653</t>
  </si>
  <si>
    <t>Kurniawan, David</t>
  </si>
  <si>
    <t>dok7</t>
  </si>
  <si>
    <t>Lane, Peyton</t>
  </si>
  <si>
    <t>pal57</t>
  </si>
  <si>
    <t>Lang, Mitchell</t>
  </si>
  <si>
    <t>ml2742</t>
  </si>
  <si>
    <t>Langer, Joseph</t>
  </si>
  <si>
    <t>jl3563</t>
  </si>
  <si>
    <t>LaPierre, Sam</t>
  </si>
  <si>
    <t>srl67</t>
  </si>
  <si>
    <t>Lawrence, Jen</t>
  </si>
  <si>
    <t>jsl86</t>
  </si>
  <si>
    <t>Lee, Jessica</t>
  </si>
  <si>
    <t>jhl67</t>
  </si>
  <si>
    <t>Lee, Johannes</t>
  </si>
  <si>
    <t>jdl77</t>
  </si>
  <si>
    <t>Levensohn, Zach</t>
  </si>
  <si>
    <t>zsl4</t>
  </si>
  <si>
    <t>Levinsky, Rebecca</t>
  </si>
  <si>
    <t>ral68</t>
  </si>
  <si>
    <t>Li, Sherry</t>
  </si>
  <si>
    <t>shl43</t>
  </si>
  <si>
    <t>Li, Ziye</t>
  </si>
  <si>
    <t>zl536</t>
  </si>
  <si>
    <t>Liao, Nikki</t>
  </si>
  <si>
    <t>nwl6</t>
  </si>
  <si>
    <t>Lincoln-Barnes, Anna</t>
  </si>
  <si>
    <t>aml255</t>
  </si>
  <si>
    <t>Littlefield, Cate</t>
  </si>
  <si>
    <t>cdl39</t>
  </si>
  <si>
    <t>Liu, Fenglin</t>
  </si>
  <si>
    <t>fl437</t>
  </si>
  <si>
    <t>Liu, Yi</t>
  </si>
  <si>
    <t>yl2422</t>
  </si>
  <si>
    <t>Liu, Yuan</t>
  </si>
  <si>
    <t>yl2442</t>
  </si>
  <si>
    <t>Lu, Louis</t>
  </si>
  <si>
    <t>yl2279</t>
  </si>
  <si>
    <t>Lu, Xiaohang</t>
  </si>
  <si>
    <t>xl577</t>
  </si>
  <si>
    <t>Lubin, Yoni</t>
  </si>
  <si>
    <t>yl2439</t>
  </si>
  <si>
    <t>Lynn, Monika</t>
  </si>
  <si>
    <t>ml2739</t>
  </si>
  <si>
    <t>MacAvoy, Sam</t>
  </si>
  <si>
    <t>sem226</t>
  </si>
  <si>
    <t>Maletz, Elijah</t>
  </si>
  <si>
    <t>erm57</t>
  </si>
  <si>
    <t>Mao, Yijun</t>
  </si>
  <si>
    <t>ym376</t>
  </si>
  <si>
    <t>Marrus, Sammy</t>
  </si>
  <si>
    <t>sfm36</t>
  </si>
  <si>
    <t>Marsh, Elise</t>
  </si>
  <si>
    <t>enm25</t>
  </si>
  <si>
    <t>Martinez, Amanda</t>
  </si>
  <si>
    <t>amm367</t>
  </si>
  <si>
    <t>Masters, Claire</t>
  </si>
  <si>
    <t>cmm286</t>
  </si>
  <si>
    <t>McDonald, Abby</t>
  </si>
  <si>
    <t>amm369</t>
  </si>
  <si>
    <t>McGrory-Klyza, Isabel</t>
  </si>
  <si>
    <t>icm23</t>
  </si>
  <si>
    <t>McQuilkin, Sadie</t>
  </si>
  <si>
    <t>srm83</t>
  </si>
  <si>
    <t>Mehldau, Marcus</t>
  </si>
  <si>
    <t>mrm237</t>
  </si>
  <si>
    <t>Mendoza Aceves, Daniel</t>
  </si>
  <si>
    <t>dam225</t>
  </si>
  <si>
    <t>Mereigh, Matt</t>
  </si>
  <si>
    <t>mm3836</t>
  </si>
  <si>
    <t>Mets, Elbert</t>
  </si>
  <si>
    <t>ejm75</t>
  </si>
  <si>
    <t>Meyer, Kate</t>
  </si>
  <si>
    <t>kem237</t>
  </si>
  <si>
    <t>Michels, Katie</t>
  </si>
  <si>
    <t>kzm3</t>
  </si>
  <si>
    <t>Michelson, Brooke</t>
  </si>
  <si>
    <t>bsm33</t>
  </si>
  <si>
    <t>Milvenan, Richard</t>
  </si>
  <si>
    <t>rdm65</t>
  </si>
  <si>
    <t>Misra, Ben</t>
  </si>
  <si>
    <t>bjm84</t>
  </si>
  <si>
    <t>Moore, Isabel</t>
  </si>
  <si>
    <t>ibm7</t>
  </si>
  <si>
    <t>Morris, William</t>
  </si>
  <si>
    <t>wrm34</t>
  </si>
  <si>
    <t>Morrissey, Donald</t>
  </si>
  <si>
    <t>djm242</t>
  </si>
  <si>
    <t>Moser, Aaron</t>
  </si>
  <si>
    <t>ajm277</t>
  </si>
  <si>
    <t>Mulcahy, Robby</t>
  </si>
  <si>
    <t>rlm94</t>
  </si>
  <si>
    <t>Mullaney, Alex</t>
  </si>
  <si>
    <t>acm94</t>
  </si>
  <si>
    <t>Mungin, Louis</t>
  </si>
  <si>
    <t>ljm79</t>
  </si>
  <si>
    <t>Murphy, Evie</t>
  </si>
  <si>
    <t>eem67</t>
  </si>
  <si>
    <t>Muto, Hideaki</t>
  </si>
  <si>
    <t>hm539</t>
  </si>
  <si>
    <t>Myers, Ethan</t>
  </si>
  <si>
    <t>ejm86</t>
  </si>
  <si>
    <t>Neiterman, Dan</t>
  </si>
  <si>
    <t>drn25</t>
  </si>
  <si>
    <t>Newman, Jessica</t>
  </si>
  <si>
    <t>jmn64</t>
  </si>
  <si>
    <t>Nguyen, Q (Quyen)</t>
  </si>
  <si>
    <t>qxn2</t>
  </si>
  <si>
    <t>Nicholls, Luke</t>
  </si>
  <si>
    <t>lbn5</t>
  </si>
  <si>
    <t>Nie, James</t>
  </si>
  <si>
    <t>jn467</t>
  </si>
  <si>
    <t>Ninan, Preeya</t>
  </si>
  <si>
    <t>pn265</t>
  </si>
  <si>
    <t>Nixon, Brad</t>
  </si>
  <si>
    <t>bjn22</t>
  </si>
  <si>
    <t>O'Shea, John</t>
  </si>
  <si>
    <t>jpo33</t>
  </si>
  <si>
    <t>Oddleifson, August</t>
  </si>
  <si>
    <t>dao36</t>
  </si>
  <si>
    <t>Okun, Evan</t>
  </si>
  <si>
    <t>eao42</t>
  </si>
  <si>
    <t>Onda, Aki</t>
  </si>
  <si>
    <t>ao492</t>
  </si>
  <si>
    <t>Owens, Mark</t>
  </si>
  <si>
    <t>mfo4</t>
  </si>
  <si>
    <t>Palarino, Mario</t>
  </si>
  <si>
    <t>mvp29</t>
  </si>
  <si>
    <t>Papaefthymiou, Aris</t>
  </si>
  <si>
    <t>agp33</t>
  </si>
  <si>
    <t>Park, Soon</t>
  </si>
  <si>
    <t>sp2356</t>
  </si>
  <si>
    <t>Patel, Krishna</t>
  </si>
  <si>
    <t>kp647</t>
  </si>
  <si>
    <t>Pederzoli, Giacomo</t>
  </si>
  <si>
    <t>gp397</t>
  </si>
  <si>
    <t>Pelky, David</t>
  </si>
  <si>
    <t>dp822</t>
  </si>
  <si>
    <t>Pereira Rolim, Caio</t>
  </si>
  <si>
    <t>cp923</t>
  </si>
  <si>
    <t>Perkins, Jeremy</t>
  </si>
  <si>
    <t>jp2688</t>
  </si>
  <si>
    <t>Pimentel, Daniela</t>
  </si>
  <si>
    <t>ldp9</t>
  </si>
  <si>
    <t>Pineda, Neil</t>
  </si>
  <si>
    <t>ngp23</t>
  </si>
  <si>
    <t>Plummer, Tabitha</t>
  </si>
  <si>
    <t>tfp6</t>
  </si>
  <si>
    <t>Pottebaum, Ray</t>
  </si>
  <si>
    <t>rkp23</t>
  </si>
  <si>
    <t>Potturi, Sravani</t>
  </si>
  <si>
    <t>jp2687</t>
  </si>
  <si>
    <t>Puritz, Joel</t>
  </si>
  <si>
    <t>jhp46</t>
  </si>
  <si>
    <t>Qiao, Danny</t>
  </si>
  <si>
    <t>dq44</t>
  </si>
  <si>
    <t>Ramakrishnan, Gokhul</t>
  </si>
  <si>
    <t>grr24</t>
  </si>
  <si>
    <t>Rashid, Saba</t>
  </si>
  <si>
    <t>sr2333</t>
  </si>
  <si>
    <t>Reiser, Flurin</t>
  </si>
  <si>
    <t>fmr26</t>
  </si>
  <si>
    <t>Ren, Linhang</t>
  </si>
  <si>
    <t>lr694</t>
  </si>
  <si>
    <t>Roche, Elisse</t>
  </si>
  <si>
    <t>ejr55</t>
  </si>
  <si>
    <t>Rodriguez Bugada, Matias</t>
  </si>
  <si>
    <t>mr2523</t>
  </si>
  <si>
    <t>Rose, Jordon</t>
  </si>
  <si>
    <t>jcr93</t>
  </si>
  <si>
    <t>Rosen, Ben</t>
  </si>
  <si>
    <t>btr28</t>
  </si>
  <si>
    <t>Rup, John</t>
  </si>
  <si>
    <t>jwr38</t>
  </si>
  <si>
    <t>Sacktor, Clark</t>
  </si>
  <si>
    <t>cs2787</t>
  </si>
  <si>
    <t>Sainsbury, Elizabeth</t>
  </si>
  <si>
    <t>eas245</t>
  </si>
  <si>
    <t>Salant, Jacob</t>
  </si>
  <si>
    <t>jas469</t>
  </si>
  <si>
    <t>Samardzic, Andrej</t>
  </si>
  <si>
    <t>as3893</t>
  </si>
  <si>
    <t>Sanchez Cortes, Javier</t>
  </si>
  <si>
    <t>js3994</t>
  </si>
  <si>
    <t>Santos, Calvin</t>
  </si>
  <si>
    <t>cs2778</t>
  </si>
  <si>
    <t>Sanyal, Sayantan</t>
  </si>
  <si>
    <t>ss4238</t>
  </si>
  <si>
    <t>Sawyer, Tom</t>
  </si>
  <si>
    <t>tcs43</t>
  </si>
  <si>
    <t>Scafidi, Sarah</t>
  </si>
  <si>
    <t>ses257</t>
  </si>
  <si>
    <t>Schuelke, Logan</t>
  </si>
  <si>
    <t>lts28</t>
  </si>
  <si>
    <t>Schwartz, Sammy</t>
  </si>
  <si>
    <t>sts45</t>
  </si>
  <si>
    <t>Self, Emily Anne</t>
  </si>
  <si>
    <t>ems247</t>
  </si>
  <si>
    <t>Sethi, Bisman</t>
  </si>
  <si>
    <t>bs964</t>
  </si>
  <si>
    <t>Shaikh, Affan</t>
  </si>
  <si>
    <t>ats46</t>
  </si>
  <si>
    <t>Sharma, Prachi</t>
  </si>
  <si>
    <t>ps977</t>
  </si>
  <si>
    <t>Shi, Trinity</t>
  </si>
  <si>
    <t>ts956</t>
  </si>
  <si>
    <t>Shin, Jem</t>
  </si>
  <si>
    <t>js3984</t>
  </si>
  <si>
    <t>Shipman, Cannon</t>
  </si>
  <si>
    <t>ccs69</t>
  </si>
  <si>
    <t>Shook, Alex</t>
  </si>
  <si>
    <t>ams383</t>
  </si>
  <si>
    <t>Shorb, Trevor</t>
  </si>
  <si>
    <t>tms95</t>
  </si>
  <si>
    <t>Sidhu, Harnoor</t>
  </si>
  <si>
    <t>hs858</t>
  </si>
  <si>
    <t>Simpson, Eric</t>
  </si>
  <si>
    <t>ecs53</t>
  </si>
  <si>
    <t>Singh, Divjot</t>
  </si>
  <si>
    <t>ds2739</t>
  </si>
  <si>
    <t>Singh, Neha</t>
  </si>
  <si>
    <t>ns862</t>
  </si>
  <si>
    <t>Singh, Ritesh</t>
  </si>
  <si>
    <t>rks64</t>
  </si>
  <si>
    <t>Smith, Mike</t>
  </si>
  <si>
    <t>mrs248</t>
  </si>
  <si>
    <t>Smith, Zac</t>
  </si>
  <si>
    <t>zws3</t>
  </si>
  <si>
    <t>Solowey, Matt</t>
  </si>
  <si>
    <t>mis39</t>
  </si>
  <si>
    <t>Spangler, Koji</t>
  </si>
  <si>
    <t>dks48</t>
  </si>
  <si>
    <t>Sprinkel, Sean</t>
  </si>
  <si>
    <t>scs76</t>
  </si>
  <si>
    <t>Stagg, Elizabeth</t>
  </si>
  <si>
    <t>es739</t>
  </si>
  <si>
    <t>Stifano Hernandez, Tiziana</t>
  </si>
  <si>
    <t>tcs42</t>
  </si>
  <si>
    <t>Stousland, Erik</t>
  </si>
  <si>
    <t>els83</t>
  </si>
  <si>
    <t>Su, Pascal</t>
  </si>
  <si>
    <t>prs39</t>
  </si>
  <si>
    <t>Sukthankar, Ankita</t>
  </si>
  <si>
    <t>as3863</t>
  </si>
  <si>
    <t>Sweeney, Alexandra</t>
  </si>
  <si>
    <t>as3922</t>
  </si>
  <si>
    <t>Tang, Taylor</t>
  </si>
  <si>
    <t>gt366</t>
  </si>
  <si>
    <t>Tannenbaum, Ben</t>
  </si>
  <si>
    <t>bmt32</t>
  </si>
  <si>
    <t>Taub, Melanie</t>
  </si>
  <si>
    <t>mst43</t>
  </si>
  <si>
    <t>Tavello, Rex</t>
  </si>
  <si>
    <t>rmt37</t>
  </si>
  <si>
    <t>Tessmann, Spenser</t>
  </si>
  <si>
    <t>wst25</t>
  </si>
  <si>
    <t>Thaxter, Sean</t>
  </si>
  <si>
    <t>st862</t>
  </si>
  <si>
    <t>Tiomkin, Nadav</t>
  </si>
  <si>
    <t>nt376</t>
  </si>
  <si>
    <t>Topping, Ben</t>
  </si>
  <si>
    <t>bmt34</t>
  </si>
  <si>
    <t>Torres, Jor</t>
  </si>
  <si>
    <t>jvt7</t>
  </si>
  <si>
    <t>Tran, Yen</t>
  </si>
  <si>
    <t>yjt4</t>
  </si>
  <si>
    <t>Treerattanaroj, Soros</t>
  </si>
  <si>
    <t>st859</t>
  </si>
  <si>
    <t>Truong, Wesley</t>
  </si>
  <si>
    <t>wlt23</t>
  </si>
  <si>
    <t>Tse, Bernard</t>
  </si>
  <si>
    <t>bpt22</t>
  </si>
  <si>
    <t>Uhl, Charline</t>
  </si>
  <si>
    <t>cu46</t>
  </si>
  <si>
    <t>Umoga, Kelechi</t>
  </si>
  <si>
    <t>khu3</t>
  </si>
  <si>
    <t>Valdez, Guillermo</t>
  </si>
  <si>
    <t>gv226</t>
  </si>
  <si>
    <t>VanHerwarde, Grania</t>
  </si>
  <si>
    <t>gv227</t>
  </si>
  <si>
    <t>Varughese, Liya</t>
  </si>
  <si>
    <t>erv23</t>
  </si>
  <si>
    <t>Viradia, Bhargav</t>
  </si>
  <si>
    <t>bcv6</t>
  </si>
  <si>
    <t>Virtue, Jacob</t>
  </si>
  <si>
    <t>jdv22</t>
  </si>
  <si>
    <t>Walker-Wells, Evan</t>
  </si>
  <si>
    <t>ebw33</t>
  </si>
  <si>
    <t>Waller, Steven</t>
  </si>
  <si>
    <t>sdw49</t>
  </si>
  <si>
    <t>Wallstein, Andrew</t>
  </si>
  <si>
    <t>arw72</t>
  </si>
  <si>
    <t>Wang, Jeffrey</t>
  </si>
  <si>
    <t>jw2725</t>
  </si>
  <si>
    <t>Wang, Jiayi</t>
  </si>
  <si>
    <t>jw2728</t>
  </si>
  <si>
    <t>Wang, Victoria</t>
  </si>
  <si>
    <t>vw232</t>
  </si>
  <si>
    <t>Wang, Wei</t>
  </si>
  <si>
    <t>ww427</t>
  </si>
  <si>
    <t>Wang, Wendy</t>
  </si>
  <si>
    <t>bw533</t>
  </si>
  <si>
    <t>Wayland, Christopher</t>
  </si>
  <si>
    <t>cw923</t>
  </si>
  <si>
    <t>Weaver, Kaitlyn</t>
  </si>
  <si>
    <t>kmw93</t>
  </si>
  <si>
    <t>Wei, Olivia</t>
  </si>
  <si>
    <t>ow22</t>
  </si>
  <si>
    <t>Weissman, Matt</t>
  </si>
  <si>
    <t>maw243</t>
  </si>
  <si>
    <t>Whang, Nikki</t>
  </si>
  <si>
    <t>nyw5</t>
  </si>
  <si>
    <t>Wheeler, Jake</t>
  </si>
  <si>
    <t>jpw66</t>
  </si>
  <si>
    <t>Wisehaupt, Grant</t>
  </si>
  <si>
    <t>gw356</t>
  </si>
  <si>
    <t>Wolf, Hayden</t>
  </si>
  <si>
    <t>hw469</t>
  </si>
  <si>
    <t>Wong, Anna</t>
  </si>
  <si>
    <t>sw2277</t>
  </si>
  <si>
    <t>Wu, Michelle</t>
  </si>
  <si>
    <t>xw438</t>
  </si>
  <si>
    <t>Wu, Rhonna</t>
  </si>
  <si>
    <t>rw638</t>
  </si>
  <si>
    <t>Wurzer, Cristiana</t>
  </si>
  <si>
    <t>ciw5</t>
  </si>
  <si>
    <t>Xia, Katherine</t>
  </si>
  <si>
    <t>kx39</t>
  </si>
  <si>
    <t>Xiao, Luke</t>
  </si>
  <si>
    <t>lx95</t>
  </si>
  <si>
    <t>Xu, Albert</t>
  </si>
  <si>
    <t>ax36</t>
  </si>
  <si>
    <t>Xu, Allen</t>
  </si>
  <si>
    <t>ayx4</t>
  </si>
  <si>
    <t>Xu, Nathan</t>
  </si>
  <si>
    <t>nx34</t>
  </si>
  <si>
    <t>Yang, David</t>
  </si>
  <si>
    <t>ty278</t>
  </si>
  <si>
    <t>Yang, Wendy</t>
  </si>
  <si>
    <t>wyy2</t>
  </si>
  <si>
    <t>Yekeler, Zeynep</t>
  </si>
  <si>
    <t>zy266</t>
  </si>
  <si>
    <t>Yoo, Hoon</t>
  </si>
  <si>
    <t>by225</t>
  </si>
  <si>
    <t>Youn, Joon Pil (JP)</t>
  </si>
  <si>
    <t>jy579</t>
  </si>
  <si>
    <t>Yuan, Alice</t>
  </si>
  <si>
    <t>any5</t>
  </si>
  <si>
    <t>Zaglama, Daniel</t>
  </si>
  <si>
    <t>dcz6</t>
  </si>
  <si>
    <t>Zamalloa Rubina, Diego</t>
  </si>
  <si>
    <t>dfz6</t>
  </si>
  <si>
    <t>Zaslavsky, Steven</t>
  </si>
  <si>
    <t>sz454</t>
  </si>
  <si>
    <t>Zhang, Dejia</t>
  </si>
  <si>
    <t>dz338</t>
  </si>
  <si>
    <t>Zhang, Jenny</t>
  </si>
  <si>
    <t>hz426</t>
  </si>
  <si>
    <t>Zhang, Yuhan</t>
  </si>
  <si>
    <t>yz797</t>
  </si>
  <si>
    <t>Zhou, Wilbur</t>
  </si>
  <si>
    <t>zz384</t>
  </si>
  <si>
    <t>Zook, Melanie</t>
  </si>
  <si>
    <t>maz27</t>
  </si>
  <si>
    <t>Zuvia, Nico</t>
  </si>
  <si>
    <t>naz5</t>
  </si>
  <si>
    <t>exam</t>
  </si>
  <si>
    <t>Exam stats:</t>
  </si>
  <si>
    <t>Mean</t>
  </si>
  <si>
    <t>Median</t>
  </si>
  <si>
    <t>Grade cutoffs</t>
  </si>
  <si>
    <t>90th</t>
  </si>
  <si>
    <t>65th</t>
  </si>
  <si>
    <t>10th</t>
  </si>
  <si>
    <t>HH</t>
  </si>
  <si>
    <t>H</t>
  </si>
  <si>
    <t>PR</t>
  </si>
  <si>
    <t>P</t>
  </si>
  <si>
    <t>min</t>
  </si>
  <si>
    <t>Grade</t>
  </si>
  <si>
    <t>Count</t>
  </si>
  <si>
    <t>Pct</t>
  </si>
  <si>
    <t>Final score stats: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</si>
</sst>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46"/>
  <sheetViews>
    <sheetView tabSelected="1" topLeftCell="A301" workbookViewId="0">
      <selection activeCell="BE313" sqref="BE313"/>
    </sheetView>
  </sheetViews>
  <sheetFormatPr defaultRowHeight="14.4" x14ac:dyDescent="0.3"/>
  <cols>
    <col min="10" max="29" width="0" hidden="1" customWidth="1"/>
    <col min="33" max="56" width="0" hidden="1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748</v>
      </c>
    </row>
    <row r="2" spans="1:66" x14ac:dyDescent="0.3">
      <c r="G2" t="s">
        <v>56</v>
      </c>
      <c r="H2" t="s">
        <v>56</v>
      </c>
      <c r="I2" t="s">
        <v>56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BI2" t="s">
        <v>749</v>
      </c>
      <c r="BK2" t="s">
        <v>764</v>
      </c>
    </row>
    <row r="3" spans="1:66" x14ac:dyDescent="0.3">
      <c r="A3" t="s">
        <v>57</v>
      </c>
      <c r="G3">
        <v>10</v>
      </c>
      <c r="H3">
        <v>10</v>
      </c>
      <c r="I3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180</v>
      </c>
      <c r="AE3">
        <v>180</v>
      </c>
      <c r="AF3">
        <v>10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t="s">
        <v>58</v>
      </c>
      <c r="AZ3" t="s">
        <v>58</v>
      </c>
      <c r="BA3" t="s">
        <v>58</v>
      </c>
      <c r="BB3" t="s">
        <v>58</v>
      </c>
      <c r="BC3" t="s">
        <v>58</v>
      </c>
      <c r="BD3" t="s">
        <v>58</v>
      </c>
      <c r="BF3" t="s">
        <v>54</v>
      </c>
      <c r="BG3" t="s">
        <v>761</v>
      </c>
      <c r="BI3" t="s">
        <v>750</v>
      </c>
      <c r="BJ3">
        <f>AVERAGE(BE4:BE344)</f>
        <v>125.09824046920821</v>
      </c>
      <c r="BK3" t="s">
        <v>750</v>
      </c>
      <c r="BL3">
        <f>AVERAGE(BF4:BF344)</f>
        <v>78.370967741935473</v>
      </c>
      <c r="BN3">
        <f>BJ3/180</f>
        <v>0.69499022482893447</v>
      </c>
    </row>
    <row r="4" spans="1:66" x14ac:dyDescent="0.3">
      <c r="A4" t="s">
        <v>184</v>
      </c>
      <c r="B4">
        <v>126601</v>
      </c>
      <c r="C4">
        <v>24319056</v>
      </c>
      <c r="D4" t="s">
        <v>185</v>
      </c>
      <c r="E4" t="s">
        <v>61</v>
      </c>
      <c r="F4" t="s">
        <v>77</v>
      </c>
      <c r="G4">
        <v>8.75</v>
      </c>
      <c r="H4">
        <v>10</v>
      </c>
      <c r="I4">
        <v>10</v>
      </c>
      <c r="J4" t="s">
        <v>63</v>
      </c>
      <c r="K4" t="s">
        <v>63</v>
      </c>
      <c r="L4" t="s">
        <v>63</v>
      </c>
      <c r="N4" t="s">
        <v>63</v>
      </c>
      <c r="O4" t="s">
        <v>63</v>
      </c>
      <c r="P4" t="s">
        <v>63</v>
      </c>
      <c r="Q4" t="s">
        <v>63</v>
      </c>
      <c r="S4" t="s">
        <v>63</v>
      </c>
      <c r="T4" t="s">
        <v>63</v>
      </c>
      <c r="U4" t="s">
        <v>63</v>
      </c>
      <c r="V4" t="s">
        <v>63</v>
      </c>
      <c r="X4" t="s">
        <v>63</v>
      </c>
      <c r="Y4" t="s">
        <v>63</v>
      </c>
      <c r="Z4" t="s">
        <v>63</v>
      </c>
      <c r="AA4" t="s">
        <v>63</v>
      </c>
      <c r="AC4" t="s">
        <v>63</v>
      </c>
      <c r="AD4" t="s">
        <v>63</v>
      </c>
      <c r="AE4">
        <v>164</v>
      </c>
      <c r="AF4">
        <v>10</v>
      </c>
      <c r="AG4">
        <v>95.83</v>
      </c>
      <c r="AH4">
        <v>95.83</v>
      </c>
      <c r="AI4">
        <v>95.83</v>
      </c>
      <c r="AJ4">
        <v>95.83</v>
      </c>
      <c r="AT4">
        <v>91.11</v>
      </c>
      <c r="AU4">
        <v>0</v>
      </c>
      <c r="AV4">
        <v>91.11</v>
      </c>
      <c r="AY4">
        <v>0</v>
      </c>
      <c r="AZ4">
        <v>0</v>
      </c>
      <c r="BA4">
        <v>95.83</v>
      </c>
      <c r="BB4">
        <v>92.69</v>
      </c>
      <c r="BC4">
        <v>28.75</v>
      </c>
      <c r="BD4">
        <v>83.42</v>
      </c>
      <c r="BE4">
        <f t="shared" ref="BE4:BE67" si="0">IF(AE4&gt;0,AE4,AD4)</f>
        <v>164</v>
      </c>
      <c r="BF4">
        <f t="shared" ref="BF4:BF67" si="1">G4+H4+I4+AF4+(BE4/3)</f>
        <v>93.416666666666657</v>
      </c>
      <c r="BG4" t="s">
        <v>756</v>
      </c>
      <c r="BI4" t="s">
        <v>751</v>
      </c>
      <c r="BJ4">
        <f>MEDIAN(BE4:BE344)</f>
        <v>126.5</v>
      </c>
      <c r="BK4" t="s">
        <v>751</v>
      </c>
      <c r="BL4">
        <f>MEDIAN(BF4:BF344)</f>
        <v>78.833333333333343</v>
      </c>
      <c r="BN4">
        <f>AVERAGE(BF4:BF344)</f>
        <v>78.370967741935473</v>
      </c>
    </row>
    <row r="5" spans="1:66" x14ac:dyDescent="0.3">
      <c r="A5" t="s">
        <v>384</v>
      </c>
      <c r="B5">
        <v>123134</v>
      </c>
      <c r="C5">
        <v>24275009</v>
      </c>
      <c r="D5" t="s">
        <v>385</v>
      </c>
      <c r="E5" t="s">
        <v>61</v>
      </c>
      <c r="F5" t="s">
        <v>77</v>
      </c>
      <c r="G5">
        <v>10</v>
      </c>
      <c r="H5">
        <v>10</v>
      </c>
      <c r="I5">
        <v>10</v>
      </c>
      <c r="J5" t="s">
        <v>63</v>
      </c>
      <c r="K5" t="s">
        <v>63</v>
      </c>
      <c r="L5" t="s">
        <v>63</v>
      </c>
      <c r="N5" t="s">
        <v>63</v>
      </c>
      <c r="O5" t="s">
        <v>63</v>
      </c>
      <c r="P5" t="s">
        <v>63</v>
      </c>
      <c r="Q5" t="s">
        <v>63</v>
      </c>
      <c r="S5" t="s">
        <v>63</v>
      </c>
      <c r="T5" t="s">
        <v>63</v>
      </c>
      <c r="U5" t="s">
        <v>63</v>
      </c>
      <c r="V5" t="s">
        <v>63</v>
      </c>
      <c r="X5" t="s">
        <v>63</v>
      </c>
      <c r="Y5" t="s">
        <v>63</v>
      </c>
      <c r="Z5" t="s">
        <v>63</v>
      </c>
      <c r="AA5" t="s">
        <v>63</v>
      </c>
      <c r="AC5" t="s">
        <v>63</v>
      </c>
      <c r="AD5" t="s">
        <v>63</v>
      </c>
      <c r="AE5">
        <v>158</v>
      </c>
      <c r="AF5">
        <v>10</v>
      </c>
      <c r="AG5">
        <v>100</v>
      </c>
      <c r="AH5">
        <v>100</v>
      </c>
      <c r="AI5">
        <v>100</v>
      </c>
      <c r="AJ5">
        <v>100</v>
      </c>
      <c r="AT5">
        <v>87.78</v>
      </c>
      <c r="AU5">
        <v>0</v>
      </c>
      <c r="AV5">
        <v>87.78</v>
      </c>
      <c r="AY5">
        <v>0</v>
      </c>
      <c r="AZ5">
        <v>0</v>
      </c>
      <c r="BA5">
        <v>100</v>
      </c>
      <c r="BB5">
        <v>91.85</v>
      </c>
      <c r="BC5">
        <v>30</v>
      </c>
      <c r="BD5">
        <v>82.67</v>
      </c>
      <c r="BE5">
        <f t="shared" si="0"/>
        <v>158</v>
      </c>
      <c r="BF5">
        <f t="shared" si="1"/>
        <v>92.666666666666657</v>
      </c>
      <c r="BG5" t="s">
        <v>756</v>
      </c>
      <c r="BI5" t="s">
        <v>760</v>
      </c>
      <c r="BJ5">
        <f>MIN(BE4:BE344)</f>
        <v>64</v>
      </c>
      <c r="BK5" t="s">
        <v>753</v>
      </c>
      <c r="BL5">
        <f>PERCENTILE(BF4:BF344,0.9)</f>
        <v>87.5</v>
      </c>
    </row>
    <row r="6" spans="1:66" x14ac:dyDescent="0.3">
      <c r="A6" t="s">
        <v>496</v>
      </c>
      <c r="B6">
        <v>123364</v>
      </c>
      <c r="C6">
        <v>24275859</v>
      </c>
      <c r="D6" t="s">
        <v>497</v>
      </c>
      <c r="E6" t="s">
        <v>61</v>
      </c>
      <c r="F6" t="s">
        <v>72</v>
      </c>
      <c r="G6">
        <v>8</v>
      </c>
      <c r="H6">
        <v>10</v>
      </c>
      <c r="I6">
        <v>10</v>
      </c>
      <c r="J6" t="s">
        <v>63</v>
      </c>
      <c r="K6" t="s">
        <v>63</v>
      </c>
      <c r="M6" t="s">
        <v>63</v>
      </c>
      <c r="N6" t="s">
        <v>63</v>
      </c>
      <c r="O6" t="s">
        <v>63</v>
      </c>
      <c r="P6" t="s">
        <v>63</v>
      </c>
      <c r="R6" t="s">
        <v>63</v>
      </c>
      <c r="S6" t="s">
        <v>63</v>
      </c>
      <c r="T6" t="s">
        <v>63</v>
      </c>
      <c r="U6" t="s">
        <v>63</v>
      </c>
      <c r="W6" t="s">
        <v>63</v>
      </c>
      <c r="X6" t="s">
        <v>63</v>
      </c>
      <c r="Y6" t="s">
        <v>63</v>
      </c>
      <c r="Z6" t="s">
        <v>63</v>
      </c>
      <c r="AB6" t="s">
        <v>63</v>
      </c>
      <c r="AC6" t="s">
        <v>63</v>
      </c>
      <c r="AD6" t="s">
        <v>63</v>
      </c>
      <c r="AE6">
        <v>162</v>
      </c>
      <c r="AF6">
        <v>10</v>
      </c>
      <c r="AG6">
        <v>93.33</v>
      </c>
      <c r="AH6">
        <v>93.33</v>
      </c>
      <c r="AI6">
        <v>93.33</v>
      </c>
      <c r="AJ6">
        <v>93.33</v>
      </c>
      <c r="AT6">
        <v>90</v>
      </c>
      <c r="AU6">
        <v>0</v>
      </c>
      <c r="AV6">
        <v>90</v>
      </c>
      <c r="AY6">
        <v>0</v>
      </c>
      <c r="AZ6">
        <v>0</v>
      </c>
      <c r="BA6">
        <v>93.33</v>
      </c>
      <c r="BB6">
        <v>91.11</v>
      </c>
      <c r="BC6">
        <v>28</v>
      </c>
      <c r="BD6">
        <v>82</v>
      </c>
      <c r="BE6">
        <f t="shared" si="0"/>
        <v>162</v>
      </c>
      <c r="BF6">
        <f t="shared" si="1"/>
        <v>92</v>
      </c>
      <c r="BG6" t="s">
        <v>756</v>
      </c>
      <c r="BJ6">
        <f>_xlfn.STDEV.P(BE4:BE344)</f>
        <v>17.550217763082525</v>
      </c>
      <c r="BK6" s="1" t="s">
        <v>754</v>
      </c>
      <c r="BL6">
        <f>PERCENTILE(BF4:BF344,0.65)-0.1</f>
        <v>81.566666666666663</v>
      </c>
    </row>
    <row r="7" spans="1:66" x14ac:dyDescent="0.3">
      <c r="A7" t="s">
        <v>682</v>
      </c>
      <c r="B7">
        <v>133945</v>
      </c>
      <c r="C7">
        <v>24385543</v>
      </c>
      <c r="D7" t="s">
        <v>683</v>
      </c>
      <c r="E7" t="s">
        <v>61</v>
      </c>
      <c r="F7" t="s">
        <v>69</v>
      </c>
      <c r="G7">
        <v>10</v>
      </c>
      <c r="H7">
        <v>10</v>
      </c>
      <c r="I7">
        <v>10</v>
      </c>
      <c r="J7" t="s">
        <v>63</v>
      </c>
      <c r="L7" t="s">
        <v>63</v>
      </c>
      <c r="M7" t="s">
        <v>63</v>
      </c>
      <c r="N7" t="s">
        <v>63</v>
      </c>
      <c r="O7" t="s">
        <v>63</v>
      </c>
      <c r="Q7" t="s">
        <v>63</v>
      </c>
      <c r="R7" t="s">
        <v>63</v>
      </c>
      <c r="S7" t="s">
        <v>63</v>
      </c>
      <c r="T7" t="s">
        <v>63</v>
      </c>
      <c r="V7" t="s">
        <v>63</v>
      </c>
      <c r="W7" t="s">
        <v>63</v>
      </c>
      <c r="X7" t="s">
        <v>63</v>
      </c>
      <c r="Y7" t="s">
        <v>63</v>
      </c>
      <c r="AA7" t="s">
        <v>63</v>
      </c>
      <c r="AB7" t="s">
        <v>63</v>
      </c>
      <c r="AC7" t="s">
        <v>63</v>
      </c>
      <c r="AD7" t="s">
        <v>63</v>
      </c>
      <c r="AE7">
        <v>155.5</v>
      </c>
      <c r="AF7">
        <v>10</v>
      </c>
      <c r="AG7">
        <v>100</v>
      </c>
      <c r="AH7">
        <v>100</v>
      </c>
      <c r="AI7">
        <v>100</v>
      </c>
      <c r="AJ7">
        <v>100</v>
      </c>
      <c r="AT7">
        <v>86.39</v>
      </c>
      <c r="AU7">
        <v>0</v>
      </c>
      <c r="AV7">
        <v>86.39</v>
      </c>
      <c r="AY7">
        <v>0</v>
      </c>
      <c r="AZ7">
        <v>0</v>
      </c>
      <c r="BA7">
        <v>100</v>
      </c>
      <c r="BB7">
        <v>90.93</v>
      </c>
      <c r="BC7">
        <v>30</v>
      </c>
      <c r="BD7">
        <v>81.83</v>
      </c>
      <c r="BE7">
        <f t="shared" si="0"/>
        <v>155.5</v>
      </c>
      <c r="BF7">
        <f t="shared" si="1"/>
        <v>91.833333333333343</v>
      </c>
      <c r="BG7" t="s">
        <v>756</v>
      </c>
      <c r="BK7" t="s">
        <v>755</v>
      </c>
      <c r="BL7">
        <f>PERCENTILE(BF4:BF344,0.1)</f>
        <v>68.666666666666657</v>
      </c>
    </row>
    <row r="8" spans="1:66" x14ac:dyDescent="0.3">
      <c r="A8" t="s">
        <v>278</v>
      </c>
      <c r="B8">
        <v>123339</v>
      </c>
      <c r="C8">
        <v>24265965</v>
      </c>
      <c r="D8" t="s">
        <v>279</v>
      </c>
      <c r="E8" t="s">
        <v>61</v>
      </c>
      <c r="F8" t="s">
        <v>62</v>
      </c>
      <c r="G8">
        <v>10</v>
      </c>
      <c r="H8">
        <v>10</v>
      </c>
      <c r="I8">
        <v>9.5</v>
      </c>
      <c r="J8" t="s">
        <v>63</v>
      </c>
      <c r="K8" t="s">
        <v>63</v>
      </c>
      <c r="L8" t="s">
        <v>63</v>
      </c>
      <c r="M8" t="s">
        <v>63</v>
      </c>
      <c r="O8" t="s">
        <v>63</v>
      </c>
      <c r="P8" t="s">
        <v>63</v>
      </c>
      <c r="Q8" t="s">
        <v>63</v>
      </c>
      <c r="R8" t="s">
        <v>63</v>
      </c>
      <c r="T8" t="s">
        <v>63</v>
      </c>
      <c r="U8" t="s">
        <v>63</v>
      </c>
      <c r="V8" t="s">
        <v>63</v>
      </c>
      <c r="W8" t="s">
        <v>63</v>
      </c>
      <c r="Y8" t="s">
        <v>63</v>
      </c>
      <c r="Z8" t="s">
        <v>63</v>
      </c>
      <c r="AA8" t="s">
        <v>63</v>
      </c>
      <c r="AB8" t="s">
        <v>63</v>
      </c>
      <c r="AD8" t="s">
        <v>63</v>
      </c>
      <c r="AE8">
        <v>156.5</v>
      </c>
      <c r="AF8">
        <v>10</v>
      </c>
      <c r="AG8">
        <v>98.33</v>
      </c>
      <c r="AH8">
        <v>98.33</v>
      </c>
      <c r="AI8">
        <v>98.33</v>
      </c>
      <c r="AJ8">
        <v>98.33</v>
      </c>
      <c r="AT8">
        <v>86.94</v>
      </c>
      <c r="AU8">
        <v>0</v>
      </c>
      <c r="AV8">
        <v>86.94</v>
      </c>
      <c r="AY8">
        <v>0</v>
      </c>
      <c r="AZ8">
        <v>0</v>
      </c>
      <c r="BA8">
        <v>98.33</v>
      </c>
      <c r="BB8">
        <v>90.74</v>
      </c>
      <c r="BC8">
        <v>29.5</v>
      </c>
      <c r="BD8">
        <v>81.67</v>
      </c>
      <c r="BE8">
        <f t="shared" si="0"/>
        <v>156.5</v>
      </c>
      <c r="BF8">
        <f t="shared" si="1"/>
        <v>91.666666666666657</v>
      </c>
      <c r="BG8" t="s">
        <v>756</v>
      </c>
      <c r="BK8" t="s">
        <v>760</v>
      </c>
      <c r="BL8">
        <f>MIN(BF4:BF344)</f>
        <v>46.083333333333329</v>
      </c>
    </row>
    <row r="9" spans="1:66" x14ac:dyDescent="0.3">
      <c r="A9" t="s">
        <v>342</v>
      </c>
      <c r="B9">
        <v>132841</v>
      </c>
      <c r="C9">
        <v>24377706</v>
      </c>
      <c r="D9" t="s">
        <v>343</v>
      </c>
      <c r="E9" t="s">
        <v>61</v>
      </c>
      <c r="F9" t="s">
        <v>69</v>
      </c>
      <c r="G9">
        <v>7.25</v>
      </c>
      <c r="H9">
        <v>10</v>
      </c>
      <c r="I9">
        <v>10</v>
      </c>
      <c r="J9" t="s">
        <v>63</v>
      </c>
      <c r="L9" t="s">
        <v>63</v>
      </c>
      <c r="M9" t="s">
        <v>63</v>
      </c>
      <c r="N9" t="s">
        <v>63</v>
      </c>
      <c r="O9" t="s">
        <v>63</v>
      </c>
      <c r="Q9" t="s">
        <v>63</v>
      </c>
      <c r="R9" t="s">
        <v>63</v>
      </c>
      <c r="S9" t="s">
        <v>63</v>
      </c>
      <c r="T9" t="s">
        <v>63</v>
      </c>
      <c r="V9" t="s">
        <v>63</v>
      </c>
      <c r="W9" t="s">
        <v>63</v>
      </c>
      <c r="X9" t="s">
        <v>63</v>
      </c>
      <c r="Y9" t="s">
        <v>63</v>
      </c>
      <c r="AA9" t="s">
        <v>63</v>
      </c>
      <c r="AB9" t="s">
        <v>63</v>
      </c>
      <c r="AC9" t="s">
        <v>63</v>
      </c>
      <c r="AD9" t="s">
        <v>63</v>
      </c>
      <c r="AE9">
        <v>162.5</v>
      </c>
      <c r="AF9">
        <v>10</v>
      </c>
      <c r="AG9">
        <v>90.83</v>
      </c>
      <c r="AH9">
        <v>90.83</v>
      </c>
      <c r="AI9">
        <v>90.83</v>
      </c>
      <c r="AJ9">
        <v>90.83</v>
      </c>
      <c r="AT9">
        <v>90.28</v>
      </c>
      <c r="AU9">
        <v>0</v>
      </c>
      <c r="AV9">
        <v>90.28</v>
      </c>
      <c r="AY9">
        <v>0</v>
      </c>
      <c r="AZ9">
        <v>0</v>
      </c>
      <c r="BA9">
        <v>90.83</v>
      </c>
      <c r="BB9">
        <v>90.46</v>
      </c>
      <c r="BC9">
        <v>27.25</v>
      </c>
      <c r="BD9">
        <v>81.42</v>
      </c>
      <c r="BE9">
        <f t="shared" si="0"/>
        <v>162.5</v>
      </c>
      <c r="BF9">
        <f t="shared" si="1"/>
        <v>91.416666666666657</v>
      </c>
      <c r="BG9" t="s">
        <v>756</v>
      </c>
    </row>
    <row r="10" spans="1:66" x14ac:dyDescent="0.3">
      <c r="A10" t="s">
        <v>352</v>
      </c>
      <c r="B10">
        <v>62995</v>
      </c>
      <c r="C10">
        <v>17296395</v>
      </c>
      <c r="D10" t="s">
        <v>353</v>
      </c>
      <c r="E10" t="s">
        <v>61</v>
      </c>
      <c r="F10" t="s">
        <v>62</v>
      </c>
      <c r="G10">
        <v>10</v>
      </c>
      <c r="H10">
        <v>10</v>
      </c>
      <c r="I10">
        <v>10</v>
      </c>
      <c r="J10" t="s">
        <v>63</v>
      </c>
      <c r="K10" t="s">
        <v>63</v>
      </c>
      <c r="L10" t="s">
        <v>63</v>
      </c>
      <c r="M10" t="s">
        <v>63</v>
      </c>
      <c r="O10" t="s">
        <v>63</v>
      </c>
      <c r="P10" t="s">
        <v>63</v>
      </c>
      <c r="Q10" t="s">
        <v>63</v>
      </c>
      <c r="R10" t="s">
        <v>63</v>
      </c>
      <c r="T10" t="s">
        <v>63</v>
      </c>
      <c r="U10" t="s">
        <v>63</v>
      </c>
      <c r="V10" t="s">
        <v>63</v>
      </c>
      <c r="W10" t="s">
        <v>63</v>
      </c>
      <c r="Y10" t="s">
        <v>63</v>
      </c>
      <c r="Z10" t="s">
        <v>63</v>
      </c>
      <c r="AA10" t="s">
        <v>63</v>
      </c>
      <c r="AB10" t="s">
        <v>63</v>
      </c>
      <c r="AD10">
        <v>154</v>
      </c>
      <c r="AF10">
        <v>10</v>
      </c>
      <c r="AG10">
        <v>100</v>
      </c>
      <c r="AH10">
        <v>100</v>
      </c>
      <c r="AI10">
        <v>100</v>
      </c>
      <c r="AJ10">
        <v>100</v>
      </c>
      <c r="AT10">
        <v>85.56</v>
      </c>
      <c r="AU10">
        <v>0</v>
      </c>
      <c r="AV10">
        <v>42.78</v>
      </c>
      <c r="AY10">
        <v>0</v>
      </c>
      <c r="AZ10">
        <v>0</v>
      </c>
      <c r="BA10">
        <v>100</v>
      </c>
      <c r="BB10">
        <v>90.37</v>
      </c>
      <c r="BC10">
        <v>30</v>
      </c>
      <c r="BD10">
        <v>55.67</v>
      </c>
      <c r="BE10">
        <f t="shared" si="0"/>
        <v>154</v>
      </c>
      <c r="BF10">
        <f t="shared" si="1"/>
        <v>91.333333333333343</v>
      </c>
      <c r="BG10" t="s">
        <v>756</v>
      </c>
    </row>
    <row r="11" spans="1:66" x14ac:dyDescent="0.3">
      <c r="A11" t="s">
        <v>258</v>
      </c>
      <c r="B11">
        <v>128273</v>
      </c>
      <c r="C11">
        <v>24342788</v>
      </c>
      <c r="D11" t="s">
        <v>259</v>
      </c>
      <c r="E11" t="s">
        <v>61</v>
      </c>
      <c r="F11" t="s">
        <v>69</v>
      </c>
      <c r="G11">
        <v>9</v>
      </c>
      <c r="H11">
        <v>10</v>
      </c>
      <c r="I11">
        <v>10</v>
      </c>
      <c r="J11" t="s">
        <v>63</v>
      </c>
      <c r="L11" t="s">
        <v>63</v>
      </c>
      <c r="M11" t="s">
        <v>63</v>
      </c>
      <c r="N11" t="s">
        <v>63</v>
      </c>
      <c r="O11" t="s">
        <v>63</v>
      </c>
      <c r="Q11" t="s">
        <v>63</v>
      </c>
      <c r="R11" t="s">
        <v>63</v>
      </c>
      <c r="S11" t="s">
        <v>63</v>
      </c>
      <c r="T11" t="s">
        <v>63</v>
      </c>
      <c r="V11" t="s">
        <v>63</v>
      </c>
      <c r="W11" t="s">
        <v>63</v>
      </c>
      <c r="X11" t="s">
        <v>63</v>
      </c>
      <c r="Y11" t="s">
        <v>63</v>
      </c>
      <c r="AA11" t="s">
        <v>63</v>
      </c>
      <c r="AB11" t="s">
        <v>63</v>
      </c>
      <c r="AC11" t="s">
        <v>63</v>
      </c>
      <c r="AD11" t="s">
        <v>63</v>
      </c>
      <c r="AE11">
        <v>156</v>
      </c>
      <c r="AF11">
        <v>10</v>
      </c>
      <c r="AG11">
        <v>96.67</v>
      </c>
      <c r="AH11">
        <v>96.67</v>
      </c>
      <c r="AI11">
        <v>96.67</v>
      </c>
      <c r="AJ11">
        <v>96.67</v>
      </c>
      <c r="AT11">
        <v>86.67</v>
      </c>
      <c r="AU11">
        <v>0</v>
      </c>
      <c r="AV11">
        <v>86.67</v>
      </c>
      <c r="AY11">
        <v>0</v>
      </c>
      <c r="AZ11">
        <v>0</v>
      </c>
      <c r="BA11">
        <v>96.67</v>
      </c>
      <c r="BB11">
        <v>90</v>
      </c>
      <c r="BC11">
        <v>29</v>
      </c>
      <c r="BD11">
        <v>81</v>
      </c>
      <c r="BE11">
        <f t="shared" si="0"/>
        <v>156</v>
      </c>
      <c r="BF11">
        <f t="shared" si="1"/>
        <v>91</v>
      </c>
      <c r="BG11" t="s">
        <v>756</v>
      </c>
      <c r="BI11" t="s">
        <v>752</v>
      </c>
      <c r="BK11" t="s">
        <v>762</v>
      </c>
      <c r="BL11" t="s">
        <v>763</v>
      </c>
    </row>
    <row r="12" spans="1:66" x14ac:dyDescent="0.3">
      <c r="A12" t="s">
        <v>712</v>
      </c>
      <c r="B12">
        <v>129407</v>
      </c>
      <c r="C12">
        <v>24357697</v>
      </c>
      <c r="D12" t="s">
        <v>713</v>
      </c>
      <c r="E12" t="s">
        <v>61</v>
      </c>
      <c r="F12" t="s">
        <v>66</v>
      </c>
      <c r="G12">
        <v>10</v>
      </c>
      <c r="H12">
        <v>10</v>
      </c>
      <c r="I12">
        <v>10</v>
      </c>
      <c r="K12" t="s">
        <v>63</v>
      </c>
      <c r="L12" t="s">
        <v>63</v>
      </c>
      <c r="M12" t="s">
        <v>63</v>
      </c>
      <c r="N12" t="s">
        <v>63</v>
      </c>
      <c r="P12" t="s">
        <v>63</v>
      </c>
      <c r="Q12" t="s">
        <v>63</v>
      </c>
      <c r="R12" t="s">
        <v>63</v>
      </c>
      <c r="S12" t="s">
        <v>63</v>
      </c>
      <c r="U12" t="s">
        <v>63</v>
      </c>
      <c r="V12" t="s">
        <v>63</v>
      </c>
      <c r="W12" t="s">
        <v>63</v>
      </c>
      <c r="X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>
        <v>153</v>
      </c>
      <c r="AF12">
        <v>10</v>
      </c>
      <c r="AG12">
        <v>100</v>
      </c>
      <c r="AH12">
        <v>100</v>
      </c>
      <c r="AI12">
        <v>100</v>
      </c>
      <c r="AJ12">
        <v>100</v>
      </c>
      <c r="AT12">
        <v>85</v>
      </c>
      <c r="AU12">
        <v>0</v>
      </c>
      <c r="AV12">
        <v>85</v>
      </c>
      <c r="AY12">
        <v>0</v>
      </c>
      <c r="AZ12">
        <v>0</v>
      </c>
      <c r="BA12">
        <v>100</v>
      </c>
      <c r="BB12">
        <v>90</v>
      </c>
      <c r="BC12">
        <v>30</v>
      </c>
      <c r="BD12">
        <v>81</v>
      </c>
      <c r="BE12">
        <f t="shared" si="0"/>
        <v>153</v>
      </c>
      <c r="BF12">
        <f t="shared" si="1"/>
        <v>91</v>
      </c>
      <c r="BG12" t="s">
        <v>756</v>
      </c>
      <c r="BI12" t="s">
        <v>756</v>
      </c>
      <c r="BJ12">
        <f>BL5</f>
        <v>87.5</v>
      </c>
      <c r="BK12">
        <f>COUNTIF($BG$4:$BG$344,BI12)</f>
        <v>36</v>
      </c>
      <c r="BL12" s="2">
        <f>BK12/SUM($BK$12:$BK$15)</f>
        <v>0.10557184750733138</v>
      </c>
    </row>
    <row r="13" spans="1:66" x14ac:dyDescent="0.3">
      <c r="A13" t="s">
        <v>330</v>
      </c>
      <c r="B13">
        <v>107988</v>
      </c>
      <c r="C13">
        <v>10566644</v>
      </c>
      <c r="D13" t="s">
        <v>331</v>
      </c>
      <c r="E13" t="s">
        <v>61</v>
      </c>
      <c r="F13" t="s">
        <v>72</v>
      </c>
      <c r="G13">
        <v>9</v>
      </c>
      <c r="H13">
        <v>9.5</v>
      </c>
      <c r="I13">
        <v>10</v>
      </c>
      <c r="J13" t="s">
        <v>63</v>
      </c>
      <c r="K13" t="s">
        <v>63</v>
      </c>
      <c r="M13" t="s">
        <v>63</v>
      </c>
      <c r="N13" t="s">
        <v>63</v>
      </c>
      <c r="O13" t="s">
        <v>63</v>
      </c>
      <c r="P13" t="s">
        <v>63</v>
      </c>
      <c r="R13" t="s">
        <v>63</v>
      </c>
      <c r="S13" t="s">
        <v>63</v>
      </c>
      <c r="T13" t="s">
        <v>63</v>
      </c>
      <c r="U13" t="s">
        <v>63</v>
      </c>
      <c r="W13" t="s">
        <v>63</v>
      </c>
      <c r="X13" t="s">
        <v>63</v>
      </c>
      <c r="Y13" t="s">
        <v>63</v>
      </c>
      <c r="Z13" t="s">
        <v>63</v>
      </c>
      <c r="AB13" t="s">
        <v>63</v>
      </c>
      <c r="AC13" t="s">
        <v>63</v>
      </c>
      <c r="AD13" t="s">
        <v>63</v>
      </c>
      <c r="AE13">
        <v>156</v>
      </c>
      <c r="AF13">
        <v>10</v>
      </c>
      <c r="AG13">
        <v>95</v>
      </c>
      <c r="AH13">
        <v>95</v>
      </c>
      <c r="AI13">
        <v>95</v>
      </c>
      <c r="AJ13">
        <v>95</v>
      </c>
      <c r="AT13">
        <v>86.67</v>
      </c>
      <c r="AU13">
        <v>0</v>
      </c>
      <c r="AV13">
        <v>86.67</v>
      </c>
      <c r="AY13">
        <v>0</v>
      </c>
      <c r="AZ13">
        <v>0</v>
      </c>
      <c r="BA13">
        <v>95</v>
      </c>
      <c r="BB13">
        <v>89.44</v>
      </c>
      <c r="BC13">
        <v>28.5</v>
      </c>
      <c r="BD13">
        <v>80.5</v>
      </c>
      <c r="BE13">
        <f t="shared" si="0"/>
        <v>156</v>
      </c>
      <c r="BF13">
        <f t="shared" si="1"/>
        <v>90.5</v>
      </c>
      <c r="BG13" t="s">
        <v>756</v>
      </c>
      <c r="BI13" t="s">
        <v>757</v>
      </c>
      <c r="BJ13">
        <f>BL6</f>
        <v>81.566666666666663</v>
      </c>
      <c r="BK13">
        <f>COUNTIF($BG$4:$BG$344,BI13)</f>
        <v>86</v>
      </c>
      <c r="BL13" s="2">
        <f t="shared" ref="BL13:BL15" si="2">BK13/SUM($BK$12:$BK$15)</f>
        <v>0.25219941348973607</v>
      </c>
    </row>
    <row r="14" spans="1:66" x14ac:dyDescent="0.3">
      <c r="A14" t="s">
        <v>426</v>
      </c>
      <c r="B14">
        <v>123180</v>
      </c>
      <c r="C14">
        <v>24275077</v>
      </c>
      <c r="D14" t="s">
        <v>427</v>
      </c>
      <c r="E14" t="s">
        <v>61</v>
      </c>
      <c r="F14" t="s">
        <v>66</v>
      </c>
      <c r="G14">
        <v>8</v>
      </c>
      <c r="H14">
        <v>10</v>
      </c>
      <c r="I14">
        <v>9.75</v>
      </c>
      <c r="K14" t="s">
        <v>63</v>
      </c>
      <c r="L14" t="s">
        <v>63</v>
      </c>
      <c r="M14" t="s">
        <v>63</v>
      </c>
      <c r="N14" t="s">
        <v>63</v>
      </c>
      <c r="P14" t="s">
        <v>63</v>
      </c>
      <c r="Q14" t="s">
        <v>63</v>
      </c>
      <c r="R14" t="s">
        <v>63</v>
      </c>
      <c r="S14" t="s">
        <v>63</v>
      </c>
      <c r="U14" t="s">
        <v>63</v>
      </c>
      <c r="V14" t="s">
        <v>63</v>
      </c>
      <c r="W14" t="s">
        <v>63</v>
      </c>
      <c r="X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>
        <v>156.5</v>
      </c>
      <c r="AF14">
        <v>10</v>
      </c>
      <c r="AG14">
        <v>92.5</v>
      </c>
      <c r="AH14">
        <v>92.5</v>
      </c>
      <c r="AI14">
        <v>92.5</v>
      </c>
      <c r="AJ14">
        <v>92.5</v>
      </c>
      <c r="AT14">
        <v>86.94</v>
      </c>
      <c r="AU14">
        <v>0</v>
      </c>
      <c r="AV14">
        <v>86.94</v>
      </c>
      <c r="AY14">
        <v>0</v>
      </c>
      <c r="AZ14">
        <v>0</v>
      </c>
      <c r="BA14">
        <v>92.5</v>
      </c>
      <c r="BB14">
        <v>88.8</v>
      </c>
      <c r="BC14">
        <v>27.75</v>
      </c>
      <c r="BD14">
        <v>79.92</v>
      </c>
      <c r="BE14">
        <f t="shared" si="0"/>
        <v>156.5</v>
      </c>
      <c r="BF14">
        <f t="shared" si="1"/>
        <v>89.916666666666657</v>
      </c>
      <c r="BG14" t="s">
        <v>756</v>
      </c>
      <c r="BI14" t="s">
        <v>758</v>
      </c>
      <c r="BJ14">
        <f>BL7</f>
        <v>68.666666666666657</v>
      </c>
      <c r="BK14">
        <f>COUNTIF($BG$4:$BG$344,BI14)</f>
        <v>184</v>
      </c>
      <c r="BL14" s="2">
        <f t="shared" si="2"/>
        <v>0.53958944281524923</v>
      </c>
    </row>
    <row r="15" spans="1:66" x14ac:dyDescent="0.3">
      <c r="A15" t="s">
        <v>138</v>
      </c>
      <c r="B15">
        <v>109771</v>
      </c>
      <c r="C15">
        <v>13388848</v>
      </c>
      <c r="D15" t="s">
        <v>139</v>
      </c>
      <c r="E15" t="s">
        <v>61</v>
      </c>
      <c r="F15" t="s">
        <v>66</v>
      </c>
      <c r="G15">
        <v>10</v>
      </c>
      <c r="H15">
        <v>10</v>
      </c>
      <c r="I15">
        <v>10</v>
      </c>
      <c r="K15" t="s">
        <v>63</v>
      </c>
      <c r="L15" t="s">
        <v>63</v>
      </c>
      <c r="M15" t="s">
        <v>63</v>
      </c>
      <c r="N15" t="s">
        <v>63</v>
      </c>
      <c r="P15" t="s">
        <v>63</v>
      </c>
      <c r="Q15" t="s">
        <v>63</v>
      </c>
      <c r="R15" t="s">
        <v>63</v>
      </c>
      <c r="S15" t="s">
        <v>63</v>
      </c>
      <c r="U15" t="s">
        <v>63</v>
      </c>
      <c r="V15" t="s">
        <v>63</v>
      </c>
      <c r="W15" t="s">
        <v>63</v>
      </c>
      <c r="X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>
        <v>149.5</v>
      </c>
      <c r="AF15">
        <v>10</v>
      </c>
      <c r="AG15">
        <v>100</v>
      </c>
      <c r="AH15">
        <v>100</v>
      </c>
      <c r="AI15">
        <v>100</v>
      </c>
      <c r="AJ15">
        <v>100</v>
      </c>
      <c r="AT15">
        <v>83.06</v>
      </c>
      <c r="AU15">
        <v>0</v>
      </c>
      <c r="AV15">
        <v>83.06</v>
      </c>
      <c r="AY15">
        <v>0</v>
      </c>
      <c r="AZ15">
        <v>0</v>
      </c>
      <c r="BA15">
        <v>100</v>
      </c>
      <c r="BB15">
        <v>88.7</v>
      </c>
      <c r="BC15">
        <v>30</v>
      </c>
      <c r="BD15">
        <v>79.83</v>
      </c>
      <c r="BE15">
        <f t="shared" si="0"/>
        <v>149.5</v>
      </c>
      <c r="BF15">
        <f t="shared" si="1"/>
        <v>89.833333333333343</v>
      </c>
      <c r="BG15" t="s">
        <v>756</v>
      </c>
      <c r="BI15" t="s">
        <v>759</v>
      </c>
      <c r="BJ15">
        <v>0</v>
      </c>
      <c r="BK15">
        <f>COUNTIF($BG$4:$BG$344,BI15)</f>
        <v>35</v>
      </c>
      <c r="BL15" s="2">
        <f t="shared" si="2"/>
        <v>0.10263929618768329</v>
      </c>
    </row>
    <row r="16" spans="1:66" x14ac:dyDescent="0.3">
      <c r="A16" t="s">
        <v>414</v>
      </c>
      <c r="B16">
        <v>126438</v>
      </c>
      <c r="C16">
        <v>24316948</v>
      </c>
      <c r="D16" t="s">
        <v>415</v>
      </c>
      <c r="E16" t="s">
        <v>61</v>
      </c>
      <c r="F16" t="s">
        <v>66</v>
      </c>
      <c r="G16">
        <v>8.5</v>
      </c>
      <c r="H16">
        <v>9</v>
      </c>
      <c r="I16">
        <v>10</v>
      </c>
      <c r="K16" t="s">
        <v>63</v>
      </c>
      <c r="L16" t="s">
        <v>63</v>
      </c>
      <c r="M16" t="s">
        <v>63</v>
      </c>
      <c r="N16" t="s">
        <v>63</v>
      </c>
      <c r="P16" t="s">
        <v>63</v>
      </c>
      <c r="Q16" t="s">
        <v>63</v>
      </c>
      <c r="R16" t="s">
        <v>63</v>
      </c>
      <c r="S16" t="s">
        <v>63</v>
      </c>
      <c r="U16" t="s">
        <v>63</v>
      </c>
      <c r="V16" t="s">
        <v>63</v>
      </c>
      <c r="W16" t="s">
        <v>63</v>
      </c>
      <c r="X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>
        <v>156</v>
      </c>
      <c r="AF16">
        <v>10</v>
      </c>
      <c r="AG16">
        <v>91.67</v>
      </c>
      <c r="AH16">
        <v>91.67</v>
      </c>
      <c r="AI16">
        <v>91.67</v>
      </c>
      <c r="AJ16">
        <v>91.67</v>
      </c>
      <c r="AT16">
        <v>86.67</v>
      </c>
      <c r="AU16">
        <v>0</v>
      </c>
      <c r="AV16">
        <v>86.67</v>
      </c>
      <c r="AY16">
        <v>0</v>
      </c>
      <c r="AZ16">
        <v>0</v>
      </c>
      <c r="BA16">
        <v>91.67</v>
      </c>
      <c r="BB16">
        <v>88.33</v>
      </c>
      <c r="BC16">
        <v>27.5</v>
      </c>
      <c r="BD16">
        <v>79.5</v>
      </c>
      <c r="BE16">
        <f t="shared" si="0"/>
        <v>156</v>
      </c>
      <c r="BF16">
        <f t="shared" si="1"/>
        <v>89.5</v>
      </c>
      <c r="BG16" t="s">
        <v>756</v>
      </c>
    </row>
    <row r="17" spans="1:59" x14ac:dyDescent="0.3">
      <c r="A17" t="s">
        <v>502</v>
      </c>
      <c r="B17">
        <v>130033</v>
      </c>
      <c r="C17">
        <v>24360366</v>
      </c>
      <c r="D17" t="s">
        <v>503</v>
      </c>
      <c r="E17" t="s">
        <v>61</v>
      </c>
      <c r="F17" t="s">
        <v>62</v>
      </c>
      <c r="G17">
        <v>10</v>
      </c>
      <c r="H17">
        <v>10</v>
      </c>
      <c r="I17">
        <v>9.5</v>
      </c>
      <c r="J17" t="s">
        <v>63</v>
      </c>
      <c r="K17" t="s">
        <v>63</v>
      </c>
      <c r="L17" t="s">
        <v>63</v>
      </c>
      <c r="M17" t="s">
        <v>63</v>
      </c>
      <c r="O17" t="s">
        <v>63</v>
      </c>
      <c r="P17" t="s">
        <v>63</v>
      </c>
      <c r="Q17" t="s">
        <v>63</v>
      </c>
      <c r="R17" t="s">
        <v>63</v>
      </c>
      <c r="T17" t="s">
        <v>63</v>
      </c>
      <c r="U17" t="s">
        <v>63</v>
      </c>
      <c r="V17" t="s">
        <v>63</v>
      </c>
      <c r="W17" t="s">
        <v>63</v>
      </c>
      <c r="Y17" t="s">
        <v>63</v>
      </c>
      <c r="Z17" t="s">
        <v>63</v>
      </c>
      <c r="AA17" t="s">
        <v>63</v>
      </c>
      <c r="AB17" t="s">
        <v>63</v>
      </c>
      <c r="AD17" t="s">
        <v>63</v>
      </c>
      <c r="AE17">
        <v>150</v>
      </c>
      <c r="AF17">
        <v>10</v>
      </c>
      <c r="AG17">
        <v>98.33</v>
      </c>
      <c r="AH17">
        <v>98.33</v>
      </c>
      <c r="AI17">
        <v>98.33</v>
      </c>
      <c r="AJ17">
        <v>98.33</v>
      </c>
      <c r="AT17">
        <v>83.33</v>
      </c>
      <c r="AU17">
        <v>0</v>
      </c>
      <c r="AV17">
        <v>83.33</v>
      </c>
      <c r="AY17">
        <v>0</v>
      </c>
      <c r="AZ17">
        <v>0</v>
      </c>
      <c r="BA17">
        <v>98.33</v>
      </c>
      <c r="BB17">
        <v>88.33</v>
      </c>
      <c r="BC17">
        <v>29.5</v>
      </c>
      <c r="BD17">
        <v>79.5</v>
      </c>
      <c r="BE17">
        <f t="shared" si="0"/>
        <v>150</v>
      </c>
      <c r="BF17">
        <f t="shared" si="1"/>
        <v>89.5</v>
      </c>
      <c r="BG17" t="s">
        <v>756</v>
      </c>
    </row>
    <row r="18" spans="1:59" x14ac:dyDescent="0.3">
      <c r="A18" t="s">
        <v>596</v>
      </c>
      <c r="B18">
        <v>128332</v>
      </c>
      <c r="C18">
        <v>24342567</v>
      </c>
      <c r="D18" t="s">
        <v>597</v>
      </c>
      <c r="E18" t="s">
        <v>61</v>
      </c>
      <c r="F18" t="s">
        <v>72</v>
      </c>
      <c r="G18">
        <v>7.5</v>
      </c>
      <c r="H18">
        <v>10</v>
      </c>
      <c r="I18">
        <v>10</v>
      </c>
      <c r="J18" t="s">
        <v>63</v>
      </c>
      <c r="K18" t="s">
        <v>63</v>
      </c>
      <c r="M18" t="s">
        <v>63</v>
      </c>
      <c r="N18" t="s">
        <v>63</v>
      </c>
      <c r="O18" t="s">
        <v>63</v>
      </c>
      <c r="P18" t="s">
        <v>63</v>
      </c>
      <c r="R18" t="s">
        <v>63</v>
      </c>
      <c r="S18" t="s">
        <v>63</v>
      </c>
      <c r="T18" t="s">
        <v>63</v>
      </c>
      <c r="U18" t="s">
        <v>63</v>
      </c>
      <c r="W18" t="s">
        <v>63</v>
      </c>
      <c r="X18" t="s">
        <v>63</v>
      </c>
      <c r="Y18" t="s">
        <v>63</v>
      </c>
      <c r="Z18" t="s">
        <v>63</v>
      </c>
      <c r="AB18" t="s">
        <v>63</v>
      </c>
      <c r="AC18" t="s">
        <v>63</v>
      </c>
      <c r="AD18" t="s">
        <v>63</v>
      </c>
      <c r="AE18">
        <v>156</v>
      </c>
      <c r="AF18">
        <v>10</v>
      </c>
      <c r="AG18">
        <v>91.67</v>
      </c>
      <c r="AH18">
        <v>91.67</v>
      </c>
      <c r="AI18">
        <v>91.67</v>
      </c>
      <c r="AJ18">
        <v>91.67</v>
      </c>
      <c r="AT18">
        <v>86.67</v>
      </c>
      <c r="AU18">
        <v>0</v>
      </c>
      <c r="AV18">
        <v>86.67</v>
      </c>
      <c r="AY18">
        <v>0</v>
      </c>
      <c r="AZ18">
        <v>0</v>
      </c>
      <c r="BA18">
        <v>91.67</v>
      </c>
      <c r="BB18">
        <v>88.33</v>
      </c>
      <c r="BC18">
        <v>27.5</v>
      </c>
      <c r="BD18">
        <v>79.5</v>
      </c>
      <c r="BE18">
        <f t="shared" si="0"/>
        <v>156</v>
      </c>
      <c r="BF18">
        <f t="shared" si="1"/>
        <v>89.5</v>
      </c>
      <c r="BG18" t="s">
        <v>756</v>
      </c>
    </row>
    <row r="19" spans="1:59" x14ac:dyDescent="0.3">
      <c r="A19" t="s">
        <v>364</v>
      </c>
      <c r="B19">
        <v>127942</v>
      </c>
      <c r="C19">
        <v>24337977</v>
      </c>
      <c r="D19" t="s">
        <v>365</v>
      </c>
      <c r="E19" t="s">
        <v>61</v>
      </c>
      <c r="F19" t="s">
        <v>62</v>
      </c>
      <c r="G19">
        <v>8</v>
      </c>
      <c r="H19">
        <v>10</v>
      </c>
      <c r="I19">
        <v>10</v>
      </c>
      <c r="J19" t="s">
        <v>63</v>
      </c>
      <c r="K19" t="s">
        <v>63</v>
      </c>
      <c r="L19" t="s">
        <v>63</v>
      </c>
      <c r="M19" t="s">
        <v>63</v>
      </c>
      <c r="O19" t="s">
        <v>63</v>
      </c>
      <c r="P19" t="s">
        <v>63</v>
      </c>
      <c r="Q19" t="s">
        <v>63</v>
      </c>
      <c r="R19" t="s">
        <v>63</v>
      </c>
      <c r="T19" t="s">
        <v>63</v>
      </c>
      <c r="U19" t="s">
        <v>63</v>
      </c>
      <c r="V19" t="s">
        <v>63</v>
      </c>
      <c r="W19" t="s">
        <v>63</v>
      </c>
      <c r="Y19" t="s">
        <v>63</v>
      </c>
      <c r="Z19" t="s">
        <v>63</v>
      </c>
      <c r="AA19" t="s">
        <v>63</v>
      </c>
      <c r="AB19" t="s">
        <v>63</v>
      </c>
      <c r="AD19" t="s">
        <v>63</v>
      </c>
      <c r="AE19">
        <v>154</v>
      </c>
      <c r="AF19">
        <v>10</v>
      </c>
      <c r="AG19">
        <v>93.33</v>
      </c>
      <c r="AH19">
        <v>93.33</v>
      </c>
      <c r="AI19">
        <v>93.33</v>
      </c>
      <c r="AJ19">
        <v>93.33</v>
      </c>
      <c r="AT19">
        <v>85.56</v>
      </c>
      <c r="AU19">
        <v>0</v>
      </c>
      <c r="AV19">
        <v>85.56</v>
      </c>
      <c r="AY19">
        <v>0</v>
      </c>
      <c r="AZ19">
        <v>0</v>
      </c>
      <c r="BA19">
        <v>93.33</v>
      </c>
      <c r="BB19">
        <v>88.15</v>
      </c>
      <c r="BC19">
        <v>28</v>
      </c>
      <c r="BD19">
        <v>79.33</v>
      </c>
      <c r="BE19">
        <f t="shared" si="0"/>
        <v>154</v>
      </c>
      <c r="BF19">
        <f t="shared" si="1"/>
        <v>89.333333333333343</v>
      </c>
      <c r="BG19" t="s">
        <v>756</v>
      </c>
    </row>
    <row r="20" spans="1:59" x14ac:dyDescent="0.3">
      <c r="A20" t="s">
        <v>248</v>
      </c>
      <c r="B20">
        <v>128132</v>
      </c>
      <c r="C20">
        <v>24339949</v>
      </c>
      <c r="D20" t="s">
        <v>249</v>
      </c>
      <c r="E20" t="s">
        <v>61</v>
      </c>
      <c r="F20" t="s">
        <v>66</v>
      </c>
      <c r="G20">
        <v>8.5</v>
      </c>
      <c r="H20">
        <v>10</v>
      </c>
      <c r="I20">
        <v>10</v>
      </c>
      <c r="K20" t="s">
        <v>63</v>
      </c>
      <c r="L20" t="s">
        <v>63</v>
      </c>
      <c r="M20" t="s">
        <v>63</v>
      </c>
      <c r="N20" t="s">
        <v>63</v>
      </c>
      <c r="P20" t="s">
        <v>63</v>
      </c>
      <c r="Q20" t="s">
        <v>63</v>
      </c>
      <c r="R20" t="s">
        <v>63</v>
      </c>
      <c r="S20" t="s">
        <v>63</v>
      </c>
      <c r="U20" t="s">
        <v>63</v>
      </c>
      <c r="V20" t="s">
        <v>63</v>
      </c>
      <c r="W20" t="s">
        <v>63</v>
      </c>
      <c r="X20" t="s">
        <v>63</v>
      </c>
      <c r="Z20" t="s">
        <v>63</v>
      </c>
      <c r="AA20" t="s">
        <v>63</v>
      </c>
      <c r="AB20" t="s">
        <v>63</v>
      </c>
      <c r="AC20" t="s">
        <v>63</v>
      </c>
      <c r="AD20" t="s">
        <v>63</v>
      </c>
      <c r="AE20">
        <v>152</v>
      </c>
      <c r="AF20">
        <v>10</v>
      </c>
      <c r="AG20">
        <v>95</v>
      </c>
      <c r="AH20">
        <v>95</v>
      </c>
      <c r="AI20">
        <v>95</v>
      </c>
      <c r="AJ20">
        <v>95</v>
      </c>
      <c r="AT20">
        <v>84.44</v>
      </c>
      <c r="AU20">
        <v>0</v>
      </c>
      <c r="AV20">
        <v>84.44</v>
      </c>
      <c r="AY20">
        <v>0</v>
      </c>
      <c r="AZ20">
        <v>0</v>
      </c>
      <c r="BA20">
        <v>95</v>
      </c>
      <c r="BB20">
        <v>87.96</v>
      </c>
      <c r="BC20">
        <v>28.5</v>
      </c>
      <c r="BD20">
        <v>79.17</v>
      </c>
      <c r="BE20">
        <f t="shared" si="0"/>
        <v>152</v>
      </c>
      <c r="BF20">
        <f t="shared" si="1"/>
        <v>89.166666666666657</v>
      </c>
      <c r="BG20" t="s">
        <v>756</v>
      </c>
    </row>
    <row r="21" spans="1:59" x14ac:dyDescent="0.3">
      <c r="A21" t="s">
        <v>318</v>
      </c>
      <c r="B21">
        <v>126225</v>
      </c>
      <c r="C21">
        <v>24312681</v>
      </c>
      <c r="D21" t="s">
        <v>319</v>
      </c>
      <c r="E21" t="s">
        <v>61</v>
      </c>
      <c r="F21" t="s">
        <v>69</v>
      </c>
      <c r="G21">
        <v>9</v>
      </c>
      <c r="H21">
        <v>10</v>
      </c>
      <c r="I21">
        <v>10</v>
      </c>
      <c r="J21" t="s">
        <v>63</v>
      </c>
      <c r="L21" t="s">
        <v>63</v>
      </c>
      <c r="M21" t="s">
        <v>63</v>
      </c>
      <c r="N21" t="s">
        <v>63</v>
      </c>
      <c r="O21" t="s">
        <v>63</v>
      </c>
      <c r="Q21" t="s">
        <v>63</v>
      </c>
      <c r="R21" t="s">
        <v>63</v>
      </c>
      <c r="S21" t="s">
        <v>63</v>
      </c>
      <c r="T21" t="s">
        <v>63</v>
      </c>
      <c r="V21" t="s">
        <v>63</v>
      </c>
      <c r="W21" t="s">
        <v>63</v>
      </c>
      <c r="X21" t="s">
        <v>63</v>
      </c>
      <c r="Y21" t="s">
        <v>63</v>
      </c>
      <c r="AA21" t="s">
        <v>63</v>
      </c>
      <c r="AB21" t="s">
        <v>63</v>
      </c>
      <c r="AC21" t="s">
        <v>63</v>
      </c>
      <c r="AD21" t="s">
        <v>63</v>
      </c>
      <c r="AE21">
        <v>150.5</v>
      </c>
      <c r="AF21">
        <v>10</v>
      </c>
      <c r="AG21">
        <v>96.67</v>
      </c>
      <c r="AH21">
        <v>96.67</v>
      </c>
      <c r="AI21">
        <v>96.67</v>
      </c>
      <c r="AJ21">
        <v>96.67</v>
      </c>
      <c r="AT21">
        <v>83.61</v>
      </c>
      <c r="AU21">
        <v>0</v>
      </c>
      <c r="AV21">
        <v>83.61</v>
      </c>
      <c r="AY21">
        <v>0</v>
      </c>
      <c r="AZ21">
        <v>0</v>
      </c>
      <c r="BA21">
        <v>96.67</v>
      </c>
      <c r="BB21">
        <v>87.96</v>
      </c>
      <c r="BC21">
        <v>29</v>
      </c>
      <c r="BD21">
        <v>79.17</v>
      </c>
      <c r="BE21">
        <f t="shared" si="0"/>
        <v>150.5</v>
      </c>
      <c r="BF21">
        <f t="shared" si="1"/>
        <v>89.166666666666657</v>
      </c>
      <c r="BG21" t="s">
        <v>756</v>
      </c>
    </row>
    <row r="22" spans="1:59" x14ac:dyDescent="0.3">
      <c r="A22" t="s">
        <v>360</v>
      </c>
      <c r="B22">
        <v>122958</v>
      </c>
      <c r="C22">
        <v>24275893</v>
      </c>
      <c r="D22" t="s">
        <v>361</v>
      </c>
      <c r="E22" t="s">
        <v>61</v>
      </c>
      <c r="F22" t="s">
        <v>66</v>
      </c>
      <c r="G22">
        <v>9</v>
      </c>
      <c r="H22">
        <v>10</v>
      </c>
      <c r="I22">
        <v>10</v>
      </c>
      <c r="K22" t="s">
        <v>63</v>
      </c>
      <c r="L22" t="s">
        <v>63</v>
      </c>
      <c r="M22" t="s">
        <v>63</v>
      </c>
      <c r="N22" t="s">
        <v>63</v>
      </c>
      <c r="P22" t="s">
        <v>63</v>
      </c>
      <c r="Q22" t="s">
        <v>63</v>
      </c>
      <c r="R22" t="s">
        <v>63</v>
      </c>
      <c r="S22" t="s">
        <v>63</v>
      </c>
      <c r="U22" t="s">
        <v>63</v>
      </c>
      <c r="V22" t="s">
        <v>63</v>
      </c>
      <c r="W22" t="s">
        <v>63</v>
      </c>
      <c r="X22" t="s">
        <v>63</v>
      </c>
      <c r="Z22" t="s">
        <v>63</v>
      </c>
      <c r="AA22" t="s">
        <v>63</v>
      </c>
      <c r="AB22" t="s">
        <v>63</v>
      </c>
      <c r="AC22" t="s">
        <v>63</v>
      </c>
      <c r="AD22" t="s">
        <v>63</v>
      </c>
      <c r="AE22">
        <v>150</v>
      </c>
      <c r="AF22">
        <v>10</v>
      </c>
      <c r="AG22">
        <v>96.67</v>
      </c>
      <c r="AH22">
        <v>96.67</v>
      </c>
      <c r="AI22">
        <v>96.67</v>
      </c>
      <c r="AJ22">
        <v>96.67</v>
      </c>
      <c r="AT22">
        <v>83.33</v>
      </c>
      <c r="AU22">
        <v>0</v>
      </c>
      <c r="AV22">
        <v>83.33</v>
      </c>
      <c r="AY22">
        <v>0</v>
      </c>
      <c r="AZ22">
        <v>0</v>
      </c>
      <c r="BA22">
        <v>96.67</v>
      </c>
      <c r="BB22">
        <v>87.78</v>
      </c>
      <c r="BC22">
        <v>29</v>
      </c>
      <c r="BD22">
        <v>79</v>
      </c>
      <c r="BE22">
        <f t="shared" si="0"/>
        <v>150</v>
      </c>
      <c r="BF22">
        <f t="shared" si="1"/>
        <v>89</v>
      </c>
      <c r="BG22" t="s">
        <v>756</v>
      </c>
    </row>
    <row r="23" spans="1:59" x14ac:dyDescent="0.3">
      <c r="A23" t="s">
        <v>208</v>
      </c>
      <c r="B23">
        <v>128363</v>
      </c>
      <c r="C23">
        <v>24342737</v>
      </c>
      <c r="D23" t="s">
        <v>209</v>
      </c>
      <c r="E23" t="s">
        <v>61</v>
      </c>
      <c r="F23" t="s">
        <v>77</v>
      </c>
      <c r="G23">
        <v>8.75</v>
      </c>
      <c r="H23">
        <v>10</v>
      </c>
      <c r="I23">
        <v>10</v>
      </c>
      <c r="J23" t="s">
        <v>63</v>
      </c>
      <c r="K23" t="s">
        <v>63</v>
      </c>
      <c r="L23" t="s">
        <v>63</v>
      </c>
      <c r="N23" t="s">
        <v>63</v>
      </c>
      <c r="O23" t="s">
        <v>63</v>
      </c>
      <c r="P23" t="s">
        <v>63</v>
      </c>
      <c r="Q23" t="s">
        <v>63</v>
      </c>
      <c r="S23" t="s">
        <v>63</v>
      </c>
      <c r="T23" t="s">
        <v>63</v>
      </c>
      <c r="U23" t="s">
        <v>63</v>
      </c>
      <c r="V23" t="s">
        <v>63</v>
      </c>
      <c r="X23" t="s">
        <v>63</v>
      </c>
      <c r="Y23" t="s">
        <v>63</v>
      </c>
      <c r="Z23" t="s">
        <v>63</v>
      </c>
      <c r="AA23" t="s">
        <v>63</v>
      </c>
      <c r="AC23" t="s">
        <v>63</v>
      </c>
      <c r="AD23">
        <v>149.5</v>
      </c>
      <c r="AF23">
        <v>10</v>
      </c>
      <c r="AG23">
        <v>95.83</v>
      </c>
      <c r="AH23">
        <v>95.83</v>
      </c>
      <c r="AI23">
        <v>95.83</v>
      </c>
      <c r="AJ23">
        <v>95.83</v>
      </c>
      <c r="AT23">
        <v>83.06</v>
      </c>
      <c r="AU23">
        <v>0</v>
      </c>
      <c r="AV23">
        <v>41.53</v>
      </c>
      <c r="AY23">
        <v>0</v>
      </c>
      <c r="AZ23">
        <v>0</v>
      </c>
      <c r="BA23">
        <v>95.83</v>
      </c>
      <c r="BB23">
        <v>87.31</v>
      </c>
      <c r="BC23">
        <v>28.75</v>
      </c>
      <c r="BD23">
        <v>53.67</v>
      </c>
      <c r="BE23">
        <f t="shared" si="0"/>
        <v>149.5</v>
      </c>
      <c r="BF23">
        <f t="shared" si="1"/>
        <v>88.583333333333343</v>
      </c>
      <c r="BG23" t="s">
        <v>756</v>
      </c>
    </row>
    <row r="24" spans="1:59" x14ac:dyDescent="0.3">
      <c r="A24" t="s">
        <v>522</v>
      </c>
      <c r="B24">
        <v>131516</v>
      </c>
      <c r="C24">
        <v>24363477</v>
      </c>
      <c r="D24" t="s">
        <v>523</v>
      </c>
      <c r="E24" t="s">
        <v>61</v>
      </c>
      <c r="F24" t="s">
        <v>66</v>
      </c>
      <c r="G24">
        <v>7</v>
      </c>
      <c r="H24">
        <v>9.75</v>
      </c>
      <c r="I24">
        <v>9.5</v>
      </c>
      <c r="K24" t="s">
        <v>63</v>
      </c>
      <c r="L24" t="s">
        <v>63</v>
      </c>
      <c r="M24" t="s">
        <v>63</v>
      </c>
      <c r="N24" t="s">
        <v>63</v>
      </c>
      <c r="P24" t="s">
        <v>63</v>
      </c>
      <c r="Q24" t="s">
        <v>63</v>
      </c>
      <c r="R24" t="s">
        <v>63</v>
      </c>
      <c r="S24" t="s">
        <v>63</v>
      </c>
      <c r="U24" t="s">
        <v>63</v>
      </c>
      <c r="V24" t="s">
        <v>63</v>
      </c>
      <c r="W24" t="s">
        <v>63</v>
      </c>
      <c r="X24" t="s">
        <v>63</v>
      </c>
      <c r="Z24" t="s">
        <v>63</v>
      </c>
      <c r="AA24" t="s">
        <v>63</v>
      </c>
      <c r="AB24" t="s">
        <v>63</v>
      </c>
      <c r="AC24" t="s">
        <v>63</v>
      </c>
      <c r="AD24" t="s">
        <v>63</v>
      </c>
      <c r="AE24">
        <v>157</v>
      </c>
      <c r="AF24">
        <v>10</v>
      </c>
      <c r="AG24">
        <v>87.5</v>
      </c>
      <c r="AH24">
        <v>87.5</v>
      </c>
      <c r="AI24">
        <v>87.5</v>
      </c>
      <c r="AJ24">
        <v>87.5</v>
      </c>
      <c r="AT24">
        <v>87.22</v>
      </c>
      <c r="AU24">
        <v>0</v>
      </c>
      <c r="AV24">
        <v>87.22</v>
      </c>
      <c r="AY24">
        <v>0</v>
      </c>
      <c r="AZ24">
        <v>0</v>
      </c>
      <c r="BA24">
        <v>87.5</v>
      </c>
      <c r="BB24">
        <v>87.31</v>
      </c>
      <c r="BC24">
        <v>26.25</v>
      </c>
      <c r="BD24">
        <v>78.58</v>
      </c>
      <c r="BE24">
        <f t="shared" si="0"/>
        <v>157</v>
      </c>
      <c r="BF24">
        <f t="shared" si="1"/>
        <v>88.583333333333343</v>
      </c>
      <c r="BG24" t="s">
        <v>756</v>
      </c>
    </row>
    <row r="25" spans="1:59" x14ac:dyDescent="0.3">
      <c r="A25" t="s">
        <v>386</v>
      </c>
      <c r="B25">
        <v>123046</v>
      </c>
      <c r="C25">
        <v>24275723</v>
      </c>
      <c r="D25" t="s">
        <v>387</v>
      </c>
      <c r="E25" t="s">
        <v>61</v>
      </c>
      <c r="F25" t="s">
        <v>66</v>
      </c>
      <c r="G25">
        <v>10</v>
      </c>
      <c r="H25">
        <v>10</v>
      </c>
      <c r="I25">
        <v>10</v>
      </c>
      <c r="K25" t="s">
        <v>63</v>
      </c>
      <c r="L25" t="s">
        <v>63</v>
      </c>
      <c r="M25" t="s">
        <v>63</v>
      </c>
      <c r="N25" t="s">
        <v>63</v>
      </c>
      <c r="P25" t="s">
        <v>63</v>
      </c>
      <c r="Q25" t="s">
        <v>63</v>
      </c>
      <c r="R25" t="s">
        <v>63</v>
      </c>
      <c r="S25" t="s">
        <v>63</v>
      </c>
      <c r="U25" t="s">
        <v>63</v>
      </c>
      <c r="V25" t="s">
        <v>63</v>
      </c>
      <c r="W25" t="s">
        <v>63</v>
      </c>
      <c r="X25" t="s">
        <v>63</v>
      </c>
      <c r="Z25" t="s">
        <v>63</v>
      </c>
      <c r="AA25" t="s">
        <v>63</v>
      </c>
      <c r="AB25" t="s">
        <v>63</v>
      </c>
      <c r="AC25" t="s">
        <v>63</v>
      </c>
      <c r="AD25" t="s">
        <v>63</v>
      </c>
      <c r="AE25">
        <v>145.5</v>
      </c>
      <c r="AF25">
        <v>10</v>
      </c>
      <c r="AG25">
        <v>100</v>
      </c>
      <c r="AH25">
        <v>100</v>
      </c>
      <c r="AI25">
        <v>100</v>
      </c>
      <c r="AJ25">
        <v>100</v>
      </c>
      <c r="AT25">
        <v>80.83</v>
      </c>
      <c r="AU25">
        <v>0</v>
      </c>
      <c r="AV25">
        <v>80.83</v>
      </c>
      <c r="AY25">
        <v>0</v>
      </c>
      <c r="AZ25">
        <v>0</v>
      </c>
      <c r="BA25">
        <v>100</v>
      </c>
      <c r="BB25">
        <v>87.22</v>
      </c>
      <c r="BC25">
        <v>30</v>
      </c>
      <c r="BD25">
        <v>78.5</v>
      </c>
      <c r="BE25">
        <f t="shared" si="0"/>
        <v>145.5</v>
      </c>
      <c r="BF25">
        <f t="shared" si="1"/>
        <v>88.5</v>
      </c>
      <c r="BG25" t="s">
        <v>756</v>
      </c>
    </row>
    <row r="26" spans="1:59" x14ac:dyDescent="0.3">
      <c r="A26" t="s">
        <v>680</v>
      </c>
      <c r="B26">
        <v>123474</v>
      </c>
      <c r="C26">
        <v>24276029</v>
      </c>
      <c r="D26" t="s">
        <v>681</v>
      </c>
      <c r="E26" t="s">
        <v>61</v>
      </c>
      <c r="F26" t="s">
        <v>69</v>
      </c>
      <c r="G26">
        <v>10</v>
      </c>
      <c r="H26">
        <v>10</v>
      </c>
      <c r="I26">
        <v>10</v>
      </c>
      <c r="J26" t="s">
        <v>63</v>
      </c>
      <c r="L26" t="s">
        <v>63</v>
      </c>
      <c r="M26" t="s">
        <v>63</v>
      </c>
      <c r="N26" t="s">
        <v>63</v>
      </c>
      <c r="O26" t="s">
        <v>63</v>
      </c>
      <c r="Q26" t="s">
        <v>63</v>
      </c>
      <c r="R26" t="s">
        <v>63</v>
      </c>
      <c r="S26" t="s">
        <v>63</v>
      </c>
      <c r="T26" t="s">
        <v>63</v>
      </c>
      <c r="V26" t="s">
        <v>63</v>
      </c>
      <c r="W26" t="s">
        <v>63</v>
      </c>
      <c r="X26" t="s">
        <v>63</v>
      </c>
      <c r="Y26" t="s">
        <v>63</v>
      </c>
      <c r="AA26" t="s">
        <v>63</v>
      </c>
      <c r="AB26" t="s">
        <v>63</v>
      </c>
      <c r="AC26" t="s">
        <v>63</v>
      </c>
      <c r="AD26" t="s">
        <v>63</v>
      </c>
      <c r="AE26">
        <v>145.5</v>
      </c>
      <c r="AF26">
        <v>10</v>
      </c>
      <c r="AG26">
        <v>100</v>
      </c>
      <c r="AH26">
        <v>100</v>
      </c>
      <c r="AI26">
        <v>100</v>
      </c>
      <c r="AJ26">
        <v>100</v>
      </c>
      <c r="AT26">
        <v>80.83</v>
      </c>
      <c r="AU26">
        <v>0</v>
      </c>
      <c r="AV26">
        <v>80.83</v>
      </c>
      <c r="AY26">
        <v>0</v>
      </c>
      <c r="AZ26">
        <v>0</v>
      </c>
      <c r="BA26">
        <v>100</v>
      </c>
      <c r="BB26">
        <v>87.22</v>
      </c>
      <c r="BC26">
        <v>30</v>
      </c>
      <c r="BD26">
        <v>78.5</v>
      </c>
      <c r="BE26">
        <f t="shared" si="0"/>
        <v>145.5</v>
      </c>
      <c r="BF26">
        <f t="shared" si="1"/>
        <v>88.5</v>
      </c>
      <c r="BG26" t="s">
        <v>756</v>
      </c>
    </row>
    <row r="27" spans="1:59" x14ac:dyDescent="0.3">
      <c r="A27" t="s">
        <v>166</v>
      </c>
      <c r="B27">
        <v>129403</v>
      </c>
      <c r="C27">
        <v>24357663</v>
      </c>
      <c r="D27" t="s">
        <v>167</v>
      </c>
      <c r="E27" t="s">
        <v>61</v>
      </c>
      <c r="F27" t="s">
        <v>72</v>
      </c>
      <c r="G27">
        <v>10</v>
      </c>
      <c r="H27">
        <v>9</v>
      </c>
      <c r="I27">
        <v>10</v>
      </c>
      <c r="J27" t="s">
        <v>63</v>
      </c>
      <c r="K27" t="s">
        <v>63</v>
      </c>
      <c r="M27" t="s">
        <v>63</v>
      </c>
      <c r="N27" t="s">
        <v>63</v>
      </c>
      <c r="O27" t="s">
        <v>63</v>
      </c>
      <c r="P27" t="s">
        <v>63</v>
      </c>
      <c r="R27" t="s">
        <v>63</v>
      </c>
      <c r="S27" t="s">
        <v>63</v>
      </c>
      <c r="T27" t="s">
        <v>63</v>
      </c>
      <c r="U27" t="s">
        <v>63</v>
      </c>
      <c r="W27" t="s">
        <v>63</v>
      </c>
      <c r="X27" t="s">
        <v>63</v>
      </c>
      <c r="Y27" t="s">
        <v>63</v>
      </c>
      <c r="Z27" t="s">
        <v>63</v>
      </c>
      <c r="AB27" t="s">
        <v>63</v>
      </c>
      <c r="AC27" t="s">
        <v>63</v>
      </c>
      <c r="AD27" t="s">
        <v>63</v>
      </c>
      <c r="AE27">
        <v>148</v>
      </c>
      <c r="AF27">
        <v>10</v>
      </c>
      <c r="AG27">
        <v>96.67</v>
      </c>
      <c r="AH27">
        <v>96.67</v>
      </c>
      <c r="AI27">
        <v>96.67</v>
      </c>
      <c r="AJ27">
        <v>96.67</v>
      </c>
      <c r="AT27">
        <v>82.22</v>
      </c>
      <c r="AU27">
        <v>0</v>
      </c>
      <c r="AV27">
        <v>82.22</v>
      </c>
      <c r="AY27">
        <v>0</v>
      </c>
      <c r="AZ27">
        <v>0</v>
      </c>
      <c r="BA27">
        <v>96.67</v>
      </c>
      <c r="BB27">
        <v>87.04</v>
      </c>
      <c r="BC27">
        <v>29</v>
      </c>
      <c r="BD27">
        <v>78.33</v>
      </c>
      <c r="BE27">
        <f t="shared" si="0"/>
        <v>148</v>
      </c>
      <c r="BF27">
        <f t="shared" si="1"/>
        <v>88.333333333333343</v>
      </c>
      <c r="BG27" t="s">
        <v>756</v>
      </c>
    </row>
    <row r="28" spans="1:59" x14ac:dyDescent="0.3">
      <c r="A28" t="s">
        <v>672</v>
      </c>
      <c r="B28">
        <v>129977</v>
      </c>
      <c r="C28">
        <v>24360400</v>
      </c>
      <c r="D28" t="s">
        <v>673</v>
      </c>
      <c r="E28" t="s">
        <v>61</v>
      </c>
      <c r="F28" t="s">
        <v>66</v>
      </c>
      <c r="G28">
        <v>8</v>
      </c>
      <c r="H28">
        <v>10</v>
      </c>
      <c r="I28">
        <v>9.5</v>
      </c>
      <c r="K28" t="s">
        <v>63</v>
      </c>
      <c r="L28" t="s">
        <v>63</v>
      </c>
      <c r="M28" t="s">
        <v>63</v>
      </c>
      <c r="N28" t="s">
        <v>63</v>
      </c>
      <c r="P28" t="s">
        <v>63</v>
      </c>
      <c r="Q28" t="s">
        <v>63</v>
      </c>
      <c r="R28" t="s">
        <v>63</v>
      </c>
      <c r="S28" t="s">
        <v>63</v>
      </c>
      <c r="U28" t="s">
        <v>63</v>
      </c>
      <c r="V28" t="s">
        <v>63</v>
      </c>
      <c r="W28" t="s">
        <v>63</v>
      </c>
      <c r="X28" t="s">
        <v>63</v>
      </c>
      <c r="Z28" t="s">
        <v>63</v>
      </c>
      <c r="AA28" t="s">
        <v>63</v>
      </c>
      <c r="AB28" t="s">
        <v>63</v>
      </c>
      <c r="AC28" t="s">
        <v>63</v>
      </c>
      <c r="AD28" t="s">
        <v>63</v>
      </c>
      <c r="AE28">
        <v>152</v>
      </c>
      <c r="AF28">
        <v>10</v>
      </c>
      <c r="AG28">
        <v>91.67</v>
      </c>
      <c r="AH28">
        <v>91.67</v>
      </c>
      <c r="AI28">
        <v>91.67</v>
      </c>
      <c r="AJ28">
        <v>91.67</v>
      </c>
      <c r="AT28">
        <v>84.44</v>
      </c>
      <c r="AU28">
        <v>0</v>
      </c>
      <c r="AV28">
        <v>84.44</v>
      </c>
      <c r="AY28">
        <v>0</v>
      </c>
      <c r="AZ28">
        <v>0</v>
      </c>
      <c r="BA28">
        <v>91.67</v>
      </c>
      <c r="BB28">
        <v>86.85</v>
      </c>
      <c r="BC28">
        <v>27.5</v>
      </c>
      <c r="BD28">
        <v>78.17</v>
      </c>
      <c r="BE28">
        <f t="shared" si="0"/>
        <v>152</v>
      </c>
      <c r="BF28">
        <f t="shared" si="1"/>
        <v>88.166666666666657</v>
      </c>
      <c r="BG28" t="s">
        <v>756</v>
      </c>
    </row>
    <row r="29" spans="1:59" x14ac:dyDescent="0.3">
      <c r="A29" t="s">
        <v>188</v>
      </c>
      <c r="B29">
        <v>128157</v>
      </c>
      <c r="C29">
        <v>24339660</v>
      </c>
      <c r="D29" t="s">
        <v>189</v>
      </c>
      <c r="E29" t="s">
        <v>61</v>
      </c>
      <c r="F29" t="s">
        <v>66</v>
      </c>
      <c r="G29">
        <v>6.25</v>
      </c>
      <c r="H29">
        <v>10</v>
      </c>
      <c r="I29">
        <v>10</v>
      </c>
      <c r="K29" t="s">
        <v>63</v>
      </c>
      <c r="L29" t="s">
        <v>63</v>
      </c>
      <c r="M29" t="s">
        <v>63</v>
      </c>
      <c r="N29" t="s">
        <v>63</v>
      </c>
      <c r="P29" t="s">
        <v>63</v>
      </c>
      <c r="Q29" t="s">
        <v>63</v>
      </c>
      <c r="R29" t="s">
        <v>63</v>
      </c>
      <c r="S29" t="s">
        <v>63</v>
      </c>
      <c r="U29" t="s">
        <v>63</v>
      </c>
      <c r="V29" t="s">
        <v>63</v>
      </c>
      <c r="W29" t="s">
        <v>63</v>
      </c>
      <c r="X29" t="s">
        <v>63</v>
      </c>
      <c r="Z29" t="s">
        <v>63</v>
      </c>
      <c r="AA29" t="s">
        <v>63</v>
      </c>
      <c r="AB29" t="s">
        <v>63</v>
      </c>
      <c r="AC29" t="s">
        <v>63</v>
      </c>
      <c r="AD29" t="s">
        <v>63</v>
      </c>
      <c r="AE29">
        <v>155.5</v>
      </c>
      <c r="AF29">
        <v>10</v>
      </c>
      <c r="AG29">
        <v>87.5</v>
      </c>
      <c r="AH29">
        <v>87.5</v>
      </c>
      <c r="AI29">
        <v>87.5</v>
      </c>
      <c r="AJ29">
        <v>87.5</v>
      </c>
      <c r="AT29">
        <v>86.39</v>
      </c>
      <c r="AU29">
        <v>0</v>
      </c>
      <c r="AV29">
        <v>86.39</v>
      </c>
      <c r="AY29">
        <v>0</v>
      </c>
      <c r="AZ29">
        <v>0</v>
      </c>
      <c r="BA29">
        <v>87.5</v>
      </c>
      <c r="BB29">
        <v>86.76</v>
      </c>
      <c r="BC29">
        <v>26.25</v>
      </c>
      <c r="BD29">
        <v>78.08</v>
      </c>
      <c r="BE29">
        <f t="shared" si="0"/>
        <v>155.5</v>
      </c>
      <c r="BF29">
        <f t="shared" si="1"/>
        <v>88.083333333333343</v>
      </c>
      <c r="BG29" t="s">
        <v>756</v>
      </c>
    </row>
    <row r="30" spans="1:59" x14ac:dyDescent="0.3">
      <c r="A30" t="s">
        <v>648</v>
      </c>
      <c r="B30">
        <v>122933</v>
      </c>
      <c r="C30">
        <v>24275383</v>
      </c>
      <c r="D30" t="s">
        <v>649</v>
      </c>
      <c r="E30" t="s">
        <v>61</v>
      </c>
      <c r="F30" t="s">
        <v>62</v>
      </c>
      <c r="G30">
        <v>9.5</v>
      </c>
      <c r="H30">
        <v>10</v>
      </c>
      <c r="I30">
        <v>10</v>
      </c>
      <c r="J30" t="s">
        <v>63</v>
      </c>
      <c r="K30" t="s">
        <v>63</v>
      </c>
      <c r="L30" t="s">
        <v>63</v>
      </c>
      <c r="M30" t="s">
        <v>63</v>
      </c>
      <c r="O30" t="s">
        <v>63</v>
      </c>
      <c r="P30" t="s">
        <v>63</v>
      </c>
      <c r="Q30" t="s">
        <v>63</v>
      </c>
      <c r="R30" t="s">
        <v>63</v>
      </c>
      <c r="T30" t="s">
        <v>63</v>
      </c>
      <c r="U30" t="s">
        <v>63</v>
      </c>
      <c r="V30" t="s">
        <v>63</v>
      </c>
      <c r="W30" t="s">
        <v>63</v>
      </c>
      <c r="Y30" t="s">
        <v>63</v>
      </c>
      <c r="Z30" t="s">
        <v>63</v>
      </c>
      <c r="AA30" t="s">
        <v>63</v>
      </c>
      <c r="AB30" t="s">
        <v>63</v>
      </c>
      <c r="AD30" t="s">
        <v>63</v>
      </c>
      <c r="AE30">
        <v>145.5</v>
      </c>
      <c r="AF30">
        <v>10</v>
      </c>
      <c r="AG30">
        <v>98.33</v>
      </c>
      <c r="AH30">
        <v>98.33</v>
      </c>
      <c r="AI30">
        <v>98.33</v>
      </c>
      <c r="AJ30">
        <v>98.33</v>
      </c>
      <c r="AT30">
        <v>80.83</v>
      </c>
      <c r="AU30">
        <v>0</v>
      </c>
      <c r="AV30">
        <v>80.83</v>
      </c>
      <c r="AY30">
        <v>0</v>
      </c>
      <c r="AZ30">
        <v>0</v>
      </c>
      <c r="BA30">
        <v>98.33</v>
      </c>
      <c r="BB30">
        <v>86.67</v>
      </c>
      <c r="BC30">
        <v>29.5</v>
      </c>
      <c r="BD30">
        <v>78</v>
      </c>
      <c r="BE30">
        <f t="shared" si="0"/>
        <v>145.5</v>
      </c>
      <c r="BF30">
        <f t="shared" si="1"/>
        <v>88</v>
      </c>
      <c r="BG30" t="s">
        <v>756</v>
      </c>
    </row>
    <row r="31" spans="1:59" x14ac:dyDescent="0.3">
      <c r="A31" t="s">
        <v>694</v>
      </c>
      <c r="B31">
        <v>126160</v>
      </c>
      <c r="C31">
        <v>24312494</v>
      </c>
      <c r="D31" t="s">
        <v>695</v>
      </c>
      <c r="E31" t="s">
        <v>61</v>
      </c>
      <c r="F31" t="s">
        <v>62</v>
      </c>
      <c r="G31">
        <v>9</v>
      </c>
      <c r="H31">
        <v>10</v>
      </c>
      <c r="I31">
        <v>10</v>
      </c>
      <c r="J31" t="s">
        <v>63</v>
      </c>
      <c r="K31" t="s">
        <v>63</v>
      </c>
      <c r="L31" t="s">
        <v>63</v>
      </c>
      <c r="M31" t="s">
        <v>63</v>
      </c>
      <c r="O31" t="s">
        <v>63</v>
      </c>
      <c r="P31" t="s">
        <v>63</v>
      </c>
      <c r="Q31" t="s">
        <v>63</v>
      </c>
      <c r="R31" t="s">
        <v>63</v>
      </c>
      <c r="T31" t="s">
        <v>63</v>
      </c>
      <c r="U31" t="s">
        <v>63</v>
      </c>
      <c r="V31" t="s">
        <v>63</v>
      </c>
      <c r="W31" t="s">
        <v>63</v>
      </c>
      <c r="Y31" t="s">
        <v>63</v>
      </c>
      <c r="Z31" t="s">
        <v>63</v>
      </c>
      <c r="AA31" t="s">
        <v>63</v>
      </c>
      <c r="AB31" t="s">
        <v>63</v>
      </c>
      <c r="AD31" t="s">
        <v>63</v>
      </c>
      <c r="AE31">
        <v>147</v>
      </c>
      <c r="AF31">
        <v>10</v>
      </c>
      <c r="AG31">
        <v>96.67</v>
      </c>
      <c r="AH31">
        <v>96.67</v>
      </c>
      <c r="AI31">
        <v>96.67</v>
      </c>
      <c r="AJ31">
        <v>96.67</v>
      </c>
      <c r="AT31">
        <v>81.67</v>
      </c>
      <c r="AU31">
        <v>0</v>
      </c>
      <c r="AV31">
        <v>81.67</v>
      </c>
      <c r="AY31">
        <v>0</v>
      </c>
      <c r="AZ31">
        <v>0</v>
      </c>
      <c r="BA31">
        <v>96.67</v>
      </c>
      <c r="BB31">
        <v>86.67</v>
      </c>
      <c r="BC31">
        <v>29</v>
      </c>
      <c r="BD31">
        <v>78</v>
      </c>
      <c r="BE31">
        <f t="shared" si="0"/>
        <v>147</v>
      </c>
      <c r="BF31">
        <f t="shared" si="1"/>
        <v>88</v>
      </c>
      <c r="BG31" t="s">
        <v>756</v>
      </c>
    </row>
    <row r="32" spans="1:59" x14ac:dyDescent="0.3">
      <c r="A32" t="s">
        <v>704</v>
      </c>
      <c r="B32">
        <v>127259</v>
      </c>
      <c r="C32">
        <v>24328321</v>
      </c>
      <c r="D32" t="s">
        <v>705</v>
      </c>
      <c r="E32" t="s">
        <v>61</v>
      </c>
      <c r="F32" t="s">
        <v>72</v>
      </c>
      <c r="G32">
        <v>9</v>
      </c>
      <c r="H32">
        <v>10</v>
      </c>
      <c r="I32">
        <v>10</v>
      </c>
      <c r="J32" t="s">
        <v>63</v>
      </c>
      <c r="K32" t="s">
        <v>63</v>
      </c>
      <c r="M32" t="s">
        <v>63</v>
      </c>
      <c r="N32" t="s">
        <v>63</v>
      </c>
      <c r="O32" t="s">
        <v>63</v>
      </c>
      <c r="P32" t="s">
        <v>63</v>
      </c>
      <c r="R32" t="s">
        <v>63</v>
      </c>
      <c r="S32" t="s">
        <v>63</v>
      </c>
      <c r="T32" t="s">
        <v>63</v>
      </c>
      <c r="U32" t="s">
        <v>63</v>
      </c>
      <c r="W32" t="s">
        <v>63</v>
      </c>
      <c r="X32" t="s">
        <v>63</v>
      </c>
      <c r="Y32" t="s">
        <v>63</v>
      </c>
      <c r="Z32" t="s">
        <v>63</v>
      </c>
      <c r="AB32" t="s">
        <v>63</v>
      </c>
      <c r="AC32" t="s">
        <v>63</v>
      </c>
      <c r="AD32" t="s">
        <v>63</v>
      </c>
      <c r="AE32">
        <v>147</v>
      </c>
      <c r="AF32">
        <v>10</v>
      </c>
      <c r="AG32">
        <v>96.67</v>
      </c>
      <c r="AH32">
        <v>96.67</v>
      </c>
      <c r="AI32">
        <v>96.67</v>
      </c>
      <c r="AJ32">
        <v>96.67</v>
      </c>
      <c r="AT32">
        <v>81.67</v>
      </c>
      <c r="AU32">
        <v>0</v>
      </c>
      <c r="AV32">
        <v>81.67</v>
      </c>
      <c r="AY32">
        <v>0</v>
      </c>
      <c r="AZ32">
        <v>0</v>
      </c>
      <c r="BA32">
        <v>96.67</v>
      </c>
      <c r="BB32">
        <v>86.67</v>
      </c>
      <c r="BC32">
        <v>29</v>
      </c>
      <c r="BD32">
        <v>78</v>
      </c>
      <c r="BE32">
        <f t="shared" si="0"/>
        <v>147</v>
      </c>
      <c r="BF32">
        <f t="shared" si="1"/>
        <v>88</v>
      </c>
      <c r="BG32" t="s">
        <v>756</v>
      </c>
    </row>
    <row r="33" spans="1:59" x14ac:dyDescent="0.3">
      <c r="A33" t="s">
        <v>84</v>
      </c>
      <c r="B33">
        <v>132911</v>
      </c>
      <c r="C33">
        <v>24374510</v>
      </c>
      <c r="D33" t="s">
        <v>85</v>
      </c>
      <c r="E33" t="s">
        <v>61</v>
      </c>
      <c r="F33" t="s">
        <v>62</v>
      </c>
      <c r="G33">
        <v>9</v>
      </c>
      <c r="H33">
        <v>10</v>
      </c>
      <c r="I33">
        <v>10</v>
      </c>
      <c r="J33" t="s">
        <v>63</v>
      </c>
      <c r="K33" t="s">
        <v>63</v>
      </c>
      <c r="L33" t="s">
        <v>63</v>
      </c>
      <c r="M33" t="s">
        <v>63</v>
      </c>
      <c r="O33" t="s">
        <v>63</v>
      </c>
      <c r="P33" t="s">
        <v>63</v>
      </c>
      <c r="Q33" t="s">
        <v>63</v>
      </c>
      <c r="R33" t="s">
        <v>63</v>
      </c>
      <c r="T33" t="s">
        <v>63</v>
      </c>
      <c r="U33" t="s">
        <v>63</v>
      </c>
      <c r="V33" t="s">
        <v>63</v>
      </c>
      <c r="W33" t="s">
        <v>63</v>
      </c>
      <c r="Y33" t="s">
        <v>63</v>
      </c>
      <c r="Z33" t="s">
        <v>63</v>
      </c>
      <c r="AA33" t="s">
        <v>63</v>
      </c>
      <c r="AB33" t="s">
        <v>63</v>
      </c>
      <c r="AD33" t="s">
        <v>63</v>
      </c>
      <c r="AE33">
        <v>146.5</v>
      </c>
      <c r="AF33">
        <v>10</v>
      </c>
      <c r="AG33">
        <v>96.67</v>
      </c>
      <c r="AH33">
        <v>96.67</v>
      </c>
      <c r="AI33">
        <v>96.67</v>
      </c>
      <c r="AJ33">
        <v>96.67</v>
      </c>
      <c r="AT33">
        <v>81.39</v>
      </c>
      <c r="AU33">
        <v>0</v>
      </c>
      <c r="AV33">
        <v>81.39</v>
      </c>
      <c r="AY33">
        <v>0</v>
      </c>
      <c r="AZ33">
        <v>0</v>
      </c>
      <c r="BA33">
        <v>96.67</v>
      </c>
      <c r="BB33">
        <v>86.48</v>
      </c>
      <c r="BC33">
        <v>29</v>
      </c>
      <c r="BD33">
        <v>77.83</v>
      </c>
      <c r="BE33">
        <f t="shared" si="0"/>
        <v>146.5</v>
      </c>
      <c r="BF33">
        <f t="shared" si="1"/>
        <v>87.833333333333343</v>
      </c>
      <c r="BG33" t="s">
        <v>756</v>
      </c>
    </row>
    <row r="34" spans="1:59" x14ac:dyDescent="0.3">
      <c r="A34" t="s">
        <v>160</v>
      </c>
      <c r="B34">
        <v>123191</v>
      </c>
      <c r="C34">
        <v>24276709</v>
      </c>
      <c r="D34" t="s">
        <v>161</v>
      </c>
      <c r="E34" t="s">
        <v>61</v>
      </c>
      <c r="F34" t="s">
        <v>66</v>
      </c>
      <c r="G34">
        <v>10</v>
      </c>
      <c r="H34">
        <v>10</v>
      </c>
      <c r="I34">
        <v>10</v>
      </c>
      <c r="K34" t="s">
        <v>63</v>
      </c>
      <c r="L34" t="s">
        <v>63</v>
      </c>
      <c r="M34" t="s">
        <v>63</v>
      </c>
      <c r="N34" t="s">
        <v>63</v>
      </c>
      <c r="P34" t="s">
        <v>63</v>
      </c>
      <c r="Q34" t="s">
        <v>63</v>
      </c>
      <c r="R34" t="s">
        <v>63</v>
      </c>
      <c r="S34" t="s">
        <v>63</v>
      </c>
      <c r="U34" t="s">
        <v>63</v>
      </c>
      <c r="V34" t="s">
        <v>63</v>
      </c>
      <c r="W34" t="s">
        <v>63</v>
      </c>
      <c r="X34" t="s">
        <v>63</v>
      </c>
      <c r="Z34" t="s">
        <v>63</v>
      </c>
      <c r="AA34" t="s">
        <v>63</v>
      </c>
      <c r="AB34" t="s">
        <v>63</v>
      </c>
      <c r="AC34" t="s">
        <v>63</v>
      </c>
      <c r="AD34" t="s">
        <v>63</v>
      </c>
      <c r="AE34">
        <v>143.5</v>
      </c>
      <c r="AF34">
        <v>10</v>
      </c>
      <c r="AG34">
        <v>100</v>
      </c>
      <c r="AH34">
        <v>100</v>
      </c>
      <c r="AI34">
        <v>100</v>
      </c>
      <c r="AJ34">
        <v>100</v>
      </c>
      <c r="AT34">
        <v>79.72</v>
      </c>
      <c r="AU34">
        <v>0</v>
      </c>
      <c r="AV34">
        <v>79.72</v>
      </c>
      <c r="AY34">
        <v>0</v>
      </c>
      <c r="AZ34">
        <v>0</v>
      </c>
      <c r="BA34">
        <v>100</v>
      </c>
      <c r="BB34">
        <v>86.48</v>
      </c>
      <c r="BC34">
        <v>30</v>
      </c>
      <c r="BD34">
        <v>77.83</v>
      </c>
      <c r="BE34">
        <f t="shared" si="0"/>
        <v>143.5</v>
      </c>
      <c r="BF34">
        <f t="shared" si="1"/>
        <v>87.833333333333343</v>
      </c>
      <c r="BG34" t="s">
        <v>756</v>
      </c>
    </row>
    <row r="35" spans="1:59" x14ac:dyDescent="0.3">
      <c r="A35" t="s">
        <v>562</v>
      </c>
      <c r="B35">
        <v>130038</v>
      </c>
      <c r="C35">
        <v>24360434</v>
      </c>
      <c r="D35" t="s">
        <v>563</v>
      </c>
      <c r="E35" t="s">
        <v>61</v>
      </c>
      <c r="F35" t="s">
        <v>72</v>
      </c>
      <c r="G35">
        <v>10</v>
      </c>
      <c r="H35">
        <v>10</v>
      </c>
      <c r="I35">
        <v>9.5</v>
      </c>
      <c r="J35" t="s">
        <v>63</v>
      </c>
      <c r="K35" t="s">
        <v>63</v>
      </c>
      <c r="M35" t="s">
        <v>63</v>
      </c>
      <c r="N35" t="s">
        <v>63</v>
      </c>
      <c r="O35" t="s">
        <v>63</v>
      </c>
      <c r="P35" t="s">
        <v>63</v>
      </c>
      <c r="R35" t="s">
        <v>63</v>
      </c>
      <c r="S35" t="s">
        <v>63</v>
      </c>
      <c r="T35" t="s">
        <v>63</v>
      </c>
      <c r="U35" t="s">
        <v>63</v>
      </c>
      <c r="W35" t="s">
        <v>63</v>
      </c>
      <c r="X35" t="s">
        <v>63</v>
      </c>
      <c r="Y35" t="s">
        <v>63</v>
      </c>
      <c r="Z35" t="s">
        <v>63</v>
      </c>
      <c r="AB35" t="s">
        <v>63</v>
      </c>
      <c r="AC35" t="s">
        <v>63</v>
      </c>
      <c r="AD35" t="s">
        <v>63</v>
      </c>
      <c r="AE35">
        <v>144.5</v>
      </c>
      <c r="AF35">
        <v>10</v>
      </c>
      <c r="AG35">
        <v>98.33</v>
      </c>
      <c r="AH35">
        <v>98.33</v>
      </c>
      <c r="AI35">
        <v>98.33</v>
      </c>
      <c r="AJ35">
        <v>98.33</v>
      </c>
      <c r="AT35">
        <v>80.28</v>
      </c>
      <c r="AU35">
        <v>0</v>
      </c>
      <c r="AV35">
        <v>80.28</v>
      </c>
      <c r="AY35">
        <v>0</v>
      </c>
      <c r="AZ35">
        <v>0</v>
      </c>
      <c r="BA35">
        <v>98.33</v>
      </c>
      <c r="BB35">
        <v>86.3</v>
      </c>
      <c r="BC35">
        <v>29.5</v>
      </c>
      <c r="BD35">
        <v>77.67</v>
      </c>
      <c r="BE35">
        <f t="shared" si="0"/>
        <v>144.5</v>
      </c>
      <c r="BF35">
        <f t="shared" si="1"/>
        <v>87.666666666666657</v>
      </c>
      <c r="BG35" t="s">
        <v>756</v>
      </c>
    </row>
    <row r="36" spans="1:59" x14ac:dyDescent="0.3">
      <c r="A36" t="s">
        <v>444</v>
      </c>
      <c r="B36">
        <v>123815</v>
      </c>
      <c r="C36">
        <v>24281452</v>
      </c>
      <c r="D36" t="s">
        <v>445</v>
      </c>
      <c r="E36" t="s">
        <v>61</v>
      </c>
      <c r="F36" t="s">
        <v>69</v>
      </c>
      <c r="G36">
        <v>9.25</v>
      </c>
      <c r="H36">
        <v>10</v>
      </c>
      <c r="I36">
        <v>10</v>
      </c>
      <c r="J36" t="s">
        <v>63</v>
      </c>
      <c r="L36" t="s">
        <v>63</v>
      </c>
      <c r="M36" t="s">
        <v>63</v>
      </c>
      <c r="N36" t="s">
        <v>63</v>
      </c>
      <c r="O36" t="s">
        <v>63</v>
      </c>
      <c r="Q36" t="s">
        <v>63</v>
      </c>
      <c r="R36" t="s">
        <v>63</v>
      </c>
      <c r="S36" t="s">
        <v>63</v>
      </c>
      <c r="T36" t="s">
        <v>63</v>
      </c>
      <c r="V36" t="s">
        <v>63</v>
      </c>
      <c r="W36" t="s">
        <v>63</v>
      </c>
      <c r="X36" t="s">
        <v>63</v>
      </c>
      <c r="Y36" t="s">
        <v>63</v>
      </c>
      <c r="AA36" t="s">
        <v>63</v>
      </c>
      <c r="AB36" t="s">
        <v>63</v>
      </c>
      <c r="AC36" t="s">
        <v>63</v>
      </c>
      <c r="AD36" t="s">
        <v>63</v>
      </c>
      <c r="AE36">
        <v>145</v>
      </c>
      <c r="AF36">
        <v>10</v>
      </c>
      <c r="AG36">
        <v>97.5</v>
      </c>
      <c r="AH36">
        <v>97.5</v>
      </c>
      <c r="AI36">
        <v>97.5</v>
      </c>
      <c r="AJ36">
        <v>97.5</v>
      </c>
      <c r="AT36">
        <v>80.56</v>
      </c>
      <c r="AU36">
        <v>0</v>
      </c>
      <c r="AV36">
        <v>80.56</v>
      </c>
      <c r="AY36">
        <v>0</v>
      </c>
      <c r="AZ36">
        <v>0</v>
      </c>
      <c r="BA36">
        <v>97.5</v>
      </c>
      <c r="BB36">
        <v>86.2</v>
      </c>
      <c r="BC36">
        <v>29.25</v>
      </c>
      <c r="BD36">
        <v>77.58</v>
      </c>
      <c r="BE36">
        <f t="shared" si="0"/>
        <v>145</v>
      </c>
      <c r="BF36">
        <f t="shared" si="1"/>
        <v>87.583333333333343</v>
      </c>
      <c r="BG36" t="s">
        <v>756</v>
      </c>
    </row>
    <row r="37" spans="1:59" x14ac:dyDescent="0.3">
      <c r="A37" t="s">
        <v>544</v>
      </c>
      <c r="B37">
        <v>126210</v>
      </c>
      <c r="C37">
        <v>24312664</v>
      </c>
      <c r="D37" t="s">
        <v>545</v>
      </c>
      <c r="E37" t="s">
        <v>61</v>
      </c>
      <c r="F37" t="s">
        <v>66</v>
      </c>
      <c r="G37">
        <v>8.25</v>
      </c>
      <c r="H37">
        <v>10</v>
      </c>
      <c r="I37">
        <v>9</v>
      </c>
      <c r="K37" t="s">
        <v>63</v>
      </c>
      <c r="L37" t="s">
        <v>63</v>
      </c>
      <c r="M37" t="s">
        <v>63</v>
      </c>
      <c r="N37" t="s">
        <v>63</v>
      </c>
      <c r="P37" t="s">
        <v>63</v>
      </c>
      <c r="Q37" t="s">
        <v>63</v>
      </c>
      <c r="R37" t="s">
        <v>63</v>
      </c>
      <c r="S37" t="s">
        <v>63</v>
      </c>
      <c r="U37" t="s">
        <v>63</v>
      </c>
      <c r="V37" t="s">
        <v>63</v>
      </c>
      <c r="W37" t="s">
        <v>63</v>
      </c>
      <c r="X37" t="s">
        <v>63</v>
      </c>
      <c r="Z37" t="s">
        <v>63</v>
      </c>
      <c r="AA37" t="s">
        <v>63</v>
      </c>
      <c r="AB37" t="s">
        <v>63</v>
      </c>
      <c r="AC37" t="s">
        <v>63</v>
      </c>
      <c r="AD37" t="s">
        <v>63</v>
      </c>
      <c r="AE37">
        <v>150.5</v>
      </c>
      <c r="AF37">
        <v>10</v>
      </c>
      <c r="AG37">
        <v>90.83</v>
      </c>
      <c r="AH37">
        <v>90.83</v>
      </c>
      <c r="AI37">
        <v>90.83</v>
      </c>
      <c r="AJ37">
        <v>90.83</v>
      </c>
      <c r="AT37">
        <v>83.61</v>
      </c>
      <c r="AU37">
        <v>0</v>
      </c>
      <c r="AV37">
        <v>83.61</v>
      </c>
      <c r="AY37">
        <v>0</v>
      </c>
      <c r="AZ37">
        <v>0</v>
      </c>
      <c r="BA37">
        <v>90.83</v>
      </c>
      <c r="BB37">
        <v>86.02</v>
      </c>
      <c r="BC37">
        <v>27.25</v>
      </c>
      <c r="BD37">
        <v>77.42</v>
      </c>
      <c r="BE37">
        <f t="shared" si="0"/>
        <v>150.5</v>
      </c>
      <c r="BF37">
        <f t="shared" si="1"/>
        <v>87.416666666666657</v>
      </c>
      <c r="BG37" t="s">
        <v>756</v>
      </c>
    </row>
    <row r="38" spans="1:59" x14ac:dyDescent="0.3">
      <c r="A38" t="s">
        <v>294</v>
      </c>
      <c r="B38">
        <v>127835</v>
      </c>
      <c r="C38">
        <v>24336294</v>
      </c>
      <c r="D38" t="s">
        <v>295</v>
      </c>
      <c r="E38" t="s">
        <v>61</v>
      </c>
      <c r="F38" t="s">
        <v>69</v>
      </c>
      <c r="G38">
        <v>8</v>
      </c>
      <c r="H38">
        <v>10</v>
      </c>
      <c r="I38">
        <v>10</v>
      </c>
      <c r="J38" t="s">
        <v>63</v>
      </c>
      <c r="L38" t="s">
        <v>63</v>
      </c>
      <c r="M38" t="s">
        <v>63</v>
      </c>
      <c r="N38" t="s">
        <v>63</v>
      </c>
      <c r="O38" t="s">
        <v>63</v>
      </c>
      <c r="Q38" t="s">
        <v>63</v>
      </c>
      <c r="R38" t="s">
        <v>63</v>
      </c>
      <c r="S38" t="s">
        <v>63</v>
      </c>
      <c r="T38" t="s">
        <v>63</v>
      </c>
      <c r="V38" t="s">
        <v>63</v>
      </c>
      <c r="W38" t="s">
        <v>63</v>
      </c>
      <c r="X38" t="s">
        <v>63</v>
      </c>
      <c r="Y38" t="s">
        <v>63</v>
      </c>
      <c r="AA38" t="s">
        <v>63</v>
      </c>
      <c r="AB38" t="s">
        <v>63</v>
      </c>
      <c r="AC38" t="s">
        <v>63</v>
      </c>
      <c r="AD38" t="s">
        <v>63</v>
      </c>
      <c r="AE38">
        <v>151</v>
      </c>
      <c r="AF38">
        <v>10</v>
      </c>
      <c r="AG38">
        <v>93.33</v>
      </c>
      <c r="AH38">
        <v>93.33</v>
      </c>
      <c r="AI38">
        <v>93.33</v>
      </c>
      <c r="AJ38">
        <v>93.33</v>
      </c>
      <c r="AT38">
        <v>82.22</v>
      </c>
      <c r="AU38">
        <v>0</v>
      </c>
      <c r="AV38">
        <v>82.22</v>
      </c>
      <c r="AY38">
        <v>0</v>
      </c>
      <c r="AZ38">
        <v>0</v>
      </c>
      <c r="BA38">
        <v>93.33</v>
      </c>
      <c r="BB38">
        <v>85.93</v>
      </c>
      <c r="BC38">
        <v>28</v>
      </c>
      <c r="BD38">
        <v>77.33</v>
      </c>
      <c r="BE38">
        <f t="shared" si="0"/>
        <v>151</v>
      </c>
      <c r="BF38">
        <f t="shared" si="1"/>
        <v>88.333333333333343</v>
      </c>
      <c r="BG38" t="s">
        <v>756</v>
      </c>
    </row>
    <row r="39" spans="1:59" x14ac:dyDescent="0.3">
      <c r="A39" t="s">
        <v>316</v>
      </c>
      <c r="B39">
        <v>126399</v>
      </c>
      <c r="C39">
        <v>24314755</v>
      </c>
      <c r="D39" t="s">
        <v>317</v>
      </c>
      <c r="E39" t="s">
        <v>61</v>
      </c>
      <c r="F39" t="s">
        <v>66</v>
      </c>
      <c r="G39">
        <v>8.75</v>
      </c>
      <c r="H39">
        <v>10</v>
      </c>
      <c r="I39">
        <v>10</v>
      </c>
      <c r="K39" t="s">
        <v>63</v>
      </c>
      <c r="L39" t="s">
        <v>63</v>
      </c>
      <c r="M39" t="s">
        <v>63</v>
      </c>
      <c r="N39" t="s">
        <v>63</v>
      </c>
      <c r="P39" t="s">
        <v>63</v>
      </c>
      <c r="Q39" t="s">
        <v>63</v>
      </c>
      <c r="R39" t="s">
        <v>63</v>
      </c>
      <c r="S39" t="s">
        <v>63</v>
      </c>
      <c r="U39" t="s">
        <v>63</v>
      </c>
      <c r="V39" t="s">
        <v>63</v>
      </c>
      <c r="W39" t="s">
        <v>63</v>
      </c>
      <c r="X39" t="s">
        <v>63</v>
      </c>
      <c r="Z39" t="s">
        <v>63</v>
      </c>
      <c r="AA39" t="s">
        <v>63</v>
      </c>
      <c r="AB39" t="s">
        <v>63</v>
      </c>
      <c r="AC39" t="s">
        <v>63</v>
      </c>
      <c r="AD39" t="s">
        <v>63</v>
      </c>
      <c r="AE39">
        <v>145</v>
      </c>
      <c r="AF39">
        <v>10</v>
      </c>
      <c r="AG39">
        <v>95.83</v>
      </c>
      <c r="AH39">
        <v>95.83</v>
      </c>
      <c r="AI39">
        <v>95.83</v>
      </c>
      <c r="AJ39">
        <v>95.83</v>
      </c>
      <c r="AT39">
        <v>80.56</v>
      </c>
      <c r="AU39">
        <v>0</v>
      </c>
      <c r="AV39">
        <v>80.56</v>
      </c>
      <c r="AY39">
        <v>0</v>
      </c>
      <c r="AZ39">
        <v>0</v>
      </c>
      <c r="BA39">
        <v>95.83</v>
      </c>
      <c r="BB39">
        <v>85.65</v>
      </c>
      <c r="BC39">
        <v>28.75</v>
      </c>
      <c r="BD39">
        <v>77.08</v>
      </c>
      <c r="BE39">
        <f t="shared" si="0"/>
        <v>145</v>
      </c>
      <c r="BF39">
        <f t="shared" si="1"/>
        <v>87.083333333333343</v>
      </c>
      <c r="BG39" t="s">
        <v>757</v>
      </c>
    </row>
    <row r="40" spans="1:59" x14ac:dyDescent="0.3">
      <c r="A40" t="s">
        <v>346</v>
      </c>
      <c r="B40">
        <v>122844</v>
      </c>
      <c r="C40">
        <v>24265897</v>
      </c>
      <c r="D40" t="s">
        <v>347</v>
      </c>
      <c r="E40" t="s">
        <v>61</v>
      </c>
      <c r="F40" t="s">
        <v>72</v>
      </c>
      <c r="G40">
        <v>9.75</v>
      </c>
      <c r="H40">
        <v>10</v>
      </c>
      <c r="I40">
        <v>10</v>
      </c>
      <c r="J40" t="s">
        <v>63</v>
      </c>
      <c r="K40" t="s">
        <v>63</v>
      </c>
      <c r="M40" t="s">
        <v>63</v>
      </c>
      <c r="N40" t="s">
        <v>63</v>
      </c>
      <c r="O40" t="s">
        <v>63</v>
      </c>
      <c r="P40" t="s">
        <v>63</v>
      </c>
      <c r="R40" t="s">
        <v>63</v>
      </c>
      <c r="S40" t="s">
        <v>63</v>
      </c>
      <c r="T40" t="s">
        <v>63</v>
      </c>
      <c r="U40" t="s">
        <v>63</v>
      </c>
      <c r="W40" t="s">
        <v>63</v>
      </c>
      <c r="X40" t="s">
        <v>63</v>
      </c>
      <c r="Y40" t="s">
        <v>63</v>
      </c>
      <c r="Z40" t="s">
        <v>63</v>
      </c>
      <c r="AB40" t="s">
        <v>63</v>
      </c>
      <c r="AC40" t="s">
        <v>63</v>
      </c>
      <c r="AD40" t="s">
        <v>63</v>
      </c>
      <c r="AE40">
        <v>142</v>
      </c>
      <c r="AF40">
        <v>10</v>
      </c>
      <c r="AG40">
        <v>99.17</v>
      </c>
      <c r="AH40">
        <v>99.17</v>
      </c>
      <c r="AI40">
        <v>99.17</v>
      </c>
      <c r="AJ40">
        <v>99.17</v>
      </c>
      <c r="AT40">
        <v>78.89</v>
      </c>
      <c r="AU40">
        <v>0</v>
      </c>
      <c r="AV40">
        <v>78.89</v>
      </c>
      <c r="AY40">
        <v>0</v>
      </c>
      <c r="AZ40">
        <v>0</v>
      </c>
      <c r="BA40">
        <v>99.17</v>
      </c>
      <c r="BB40">
        <v>85.65</v>
      </c>
      <c r="BC40">
        <v>29.75</v>
      </c>
      <c r="BD40">
        <v>77.08</v>
      </c>
      <c r="BE40">
        <f t="shared" si="0"/>
        <v>142</v>
      </c>
      <c r="BF40">
        <f t="shared" si="1"/>
        <v>87.083333333333343</v>
      </c>
      <c r="BG40" t="s">
        <v>757</v>
      </c>
    </row>
    <row r="41" spans="1:59" x14ac:dyDescent="0.3">
      <c r="A41" t="s">
        <v>474</v>
      </c>
      <c r="B41">
        <v>131745</v>
      </c>
      <c r="C41">
        <v>24366061</v>
      </c>
      <c r="D41" t="s">
        <v>475</v>
      </c>
      <c r="E41" t="s">
        <v>61</v>
      </c>
      <c r="F41" t="s">
        <v>69</v>
      </c>
      <c r="G41">
        <v>5.75</v>
      </c>
      <c r="H41">
        <v>10</v>
      </c>
      <c r="I41">
        <v>10</v>
      </c>
      <c r="J41" t="s">
        <v>63</v>
      </c>
      <c r="L41" t="s">
        <v>63</v>
      </c>
      <c r="M41" t="s">
        <v>63</v>
      </c>
      <c r="N41" t="s">
        <v>63</v>
      </c>
      <c r="O41" t="s">
        <v>63</v>
      </c>
      <c r="Q41" t="s">
        <v>63</v>
      </c>
      <c r="R41" t="s">
        <v>63</v>
      </c>
      <c r="S41" t="s">
        <v>63</v>
      </c>
      <c r="T41" t="s">
        <v>63</v>
      </c>
      <c r="V41" t="s">
        <v>63</v>
      </c>
      <c r="W41" t="s">
        <v>63</v>
      </c>
      <c r="X41" t="s">
        <v>63</v>
      </c>
      <c r="Y41" t="s">
        <v>63</v>
      </c>
      <c r="AA41" t="s">
        <v>63</v>
      </c>
      <c r="AB41" t="s">
        <v>63</v>
      </c>
      <c r="AC41" t="s">
        <v>63</v>
      </c>
      <c r="AD41" t="s">
        <v>63</v>
      </c>
      <c r="AE41">
        <v>154</v>
      </c>
      <c r="AF41">
        <v>10</v>
      </c>
      <c r="AG41">
        <v>85.83</v>
      </c>
      <c r="AH41">
        <v>85.83</v>
      </c>
      <c r="AI41">
        <v>85.83</v>
      </c>
      <c r="AJ41">
        <v>85.83</v>
      </c>
      <c r="AT41">
        <v>85.56</v>
      </c>
      <c r="AU41">
        <v>0</v>
      </c>
      <c r="AV41">
        <v>85.56</v>
      </c>
      <c r="AY41">
        <v>0</v>
      </c>
      <c r="AZ41">
        <v>0</v>
      </c>
      <c r="BA41">
        <v>85.83</v>
      </c>
      <c r="BB41">
        <v>85.65</v>
      </c>
      <c r="BC41">
        <v>25.75</v>
      </c>
      <c r="BD41">
        <v>77.08</v>
      </c>
      <c r="BE41">
        <f t="shared" si="0"/>
        <v>154</v>
      </c>
      <c r="BF41">
        <f t="shared" si="1"/>
        <v>87.083333333333343</v>
      </c>
      <c r="BG41" t="s">
        <v>757</v>
      </c>
    </row>
    <row r="42" spans="1:59" x14ac:dyDescent="0.3">
      <c r="A42" t="s">
        <v>348</v>
      </c>
      <c r="B42">
        <v>123451</v>
      </c>
      <c r="C42">
        <v>24275910</v>
      </c>
      <c r="D42" t="s">
        <v>349</v>
      </c>
      <c r="E42" t="s">
        <v>61</v>
      </c>
      <c r="F42" t="s">
        <v>62</v>
      </c>
      <c r="G42">
        <v>10</v>
      </c>
      <c r="H42">
        <v>8</v>
      </c>
      <c r="I42">
        <v>9</v>
      </c>
      <c r="J42" t="s">
        <v>63</v>
      </c>
      <c r="K42" t="s">
        <v>63</v>
      </c>
      <c r="L42" t="s">
        <v>63</v>
      </c>
      <c r="M42" t="s">
        <v>63</v>
      </c>
      <c r="O42" t="s">
        <v>63</v>
      </c>
      <c r="P42" t="s">
        <v>63</v>
      </c>
      <c r="Q42" t="s">
        <v>63</v>
      </c>
      <c r="R42" t="s">
        <v>63</v>
      </c>
      <c r="T42" t="s">
        <v>63</v>
      </c>
      <c r="U42" t="s">
        <v>63</v>
      </c>
      <c r="V42" t="s">
        <v>63</v>
      </c>
      <c r="W42" t="s">
        <v>63</v>
      </c>
      <c r="Y42" t="s">
        <v>63</v>
      </c>
      <c r="Z42" t="s">
        <v>63</v>
      </c>
      <c r="AA42" t="s">
        <v>63</v>
      </c>
      <c r="AB42" t="s">
        <v>63</v>
      </c>
      <c r="AD42" t="s">
        <v>63</v>
      </c>
      <c r="AE42">
        <v>150</v>
      </c>
      <c r="AF42">
        <v>10</v>
      </c>
      <c r="AG42">
        <v>90</v>
      </c>
      <c r="AH42">
        <v>90</v>
      </c>
      <c r="AI42">
        <v>90</v>
      </c>
      <c r="AJ42">
        <v>90</v>
      </c>
      <c r="AT42">
        <v>83.33</v>
      </c>
      <c r="AU42">
        <v>0</v>
      </c>
      <c r="AV42">
        <v>83.33</v>
      </c>
      <c r="AY42">
        <v>0</v>
      </c>
      <c r="AZ42">
        <v>0</v>
      </c>
      <c r="BA42">
        <v>90</v>
      </c>
      <c r="BB42">
        <v>85.56</v>
      </c>
      <c r="BC42">
        <v>27</v>
      </c>
      <c r="BD42">
        <v>77</v>
      </c>
      <c r="BE42">
        <f t="shared" si="0"/>
        <v>150</v>
      </c>
      <c r="BF42">
        <f t="shared" si="1"/>
        <v>87</v>
      </c>
      <c r="BG42" t="s">
        <v>757</v>
      </c>
    </row>
    <row r="43" spans="1:59" x14ac:dyDescent="0.3">
      <c r="A43" t="s">
        <v>228</v>
      </c>
      <c r="B43">
        <v>122910</v>
      </c>
      <c r="C43">
        <v>24276097</v>
      </c>
      <c r="D43" t="s">
        <v>229</v>
      </c>
      <c r="E43" t="s">
        <v>61</v>
      </c>
      <c r="F43" t="s">
        <v>77</v>
      </c>
      <c r="G43">
        <v>9.75</v>
      </c>
      <c r="H43">
        <v>10</v>
      </c>
      <c r="I43">
        <v>9.5</v>
      </c>
      <c r="J43" t="s">
        <v>63</v>
      </c>
      <c r="K43" t="s">
        <v>63</v>
      </c>
      <c r="L43" t="s">
        <v>63</v>
      </c>
      <c r="N43" t="s">
        <v>63</v>
      </c>
      <c r="O43" t="s">
        <v>63</v>
      </c>
      <c r="P43" t="s">
        <v>63</v>
      </c>
      <c r="Q43" t="s">
        <v>63</v>
      </c>
      <c r="S43" t="s">
        <v>63</v>
      </c>
      <c r="T43" t="s">
        <v>63</v>
      </c>
      <c r="U43" t="s">
        <v>63</v>
      </c>
      <c r="V43" t="s">
        <v>63</v>
      </c>
      <c r="X43" t="s">
        <v>63</v>
      </c>
      <c r="Y43" t="s">
        <v>63</v>
      </c>
      <c r="Z43" t="s">
        <v>63</v>
      </c>
      <c r="AA43" t="s">
        <v>63</v>
      </c>
      <c r="AC43" t="s">
        <v>63</v>
      </c>
      <c r="AD43" t="s">
        <v>63</v>
      </c>
      <c r="AE43">
        <v>143</v>
      </c>
      <c r="AF43">
        <v>10</v>
      </c>
      <c r="AG43">
        <v>97.5</v>
      </c>
      <c r="AH43">
        <v>97.5</v>
      </c>
      <c r="AI43">
        <v>97.5</v>
      </c>
      <c r="AJ43">
        <v>97.5</v>
      </c>
      <c r="AT43">
        <v>79.44</v>
      </c>
      <c r="AU43">
        <v>0</v>
      </c>
      <c r="AV43">
        <v>79.44</v>
      </c>
      <c r="AY43">
        <v>0</v>
      </c>
      <c r="AZ43">
        <v>0</v>
      </c>
      <c r="BA43">
        <v>97.5</v>
      </c>
      <c r="BB43">
        <v>85.46</v>
      </c>
      <c r="BC43">
        <v>29.25</v>
      </c>
      <c r="BD43">
        <v>76.92</v>
      </c>
      <c r="BE43">
        <f t="shared" si="0"/>
        <v>143</v>
      </c>
      <c r="BF43">
        <f t="shared" si="1"/>
        <v>86.916666666666657</v>
      </c>
      <c r="BG43" t="s">
        <v>757</v>
      </c>
    </row>
    <row r="44" spans="1:59" x14ac:dyDescent="0.3">
      <c r="A44" t="s">
        <v>608</v>
      </c>
      <c r="B44">
        <v>126256</v>
      </c>
      <c r="C44">
        <v>24312596</v>
      </c>
      <c r="D44" t="s">
        <v>609</v>
      </c>
      <c r="E44" t="s">
        <v>61</v>
      </c>
      <c r="F44" t="s">
        <v>62</v>
      </c>
      <c r="G44">
        <v>9</v>
      </c>
      <c r="H44">
        <v>10</v>
      </c>
      <c r="I44">
        <v>9</v>
      </c>
      <c r="J44" t="s">
        <v>63</v>
      </c>
      <c r="K44" t="s">
        <v>63</v>
      </c>
      <c r="L44" t="s">
        <v>63</v>
      </c>
      <c r="M44" t="s">
        <v>63</v>
      </c>
      <c r="O44" t="s">
        <v>63</v>
      </c>
      <c r="P44" t="s">
        <v>63</v>
      </c>
      <c r="Q44" t="s">
        <v>63</v>
      </c>
      <c r="R44" t="s">
        <v>63</v>
      </c>
      <c r="T44" t="s">
        <v>63</v>
      </c>
      <c r="U44" t="s">
        <v>63</v>
      </c>
      <c r="V44" t="s">
        <v>63</v>
      </c>
      <c r="W44" t="s">
        <v>63</v>
      </c>
      <c r="Y44" t="s">
        <v>63</v>
      </c>
      <c r="Z44" t="s">
        <v>63</v>
      </c>
      <c r="AA44" t="s">
        <v>63</v>
      </c>
      <c r="AB44" t="s">
        <v>63</v>
      </c>
      <c r="AD44" t="s">
        <v>63</v>
      </c>
      <c r="AE44">
        <v>146</v>
      </c>
      <c r="AF44">
        <v>10</v>
      </c>
      <c r="AG44">
        <v>93.33</v>
      </c>
      <c r="AH44">
        <v>93.33</v>
      </c>
      <c r="AI44">
        <v>93.33</v>
      </c>
      <c r="AJ44">
        <v>93.33</v>
      </c>
      <c r="AT44">
        <v>81.11</v>
      </c>
      <c r="AU44">
        <v>0</v>
      </c>
      <c r="AV44">
        <v>81.11</v>
      </c>
      <c r="AY44">
        <v>0</v>
      </c>
      <c r="AZ44">
        <v>0</v>
      </c>
      <c r="BA44">
        <v>93.33</v>
      </c>
      <c r="BB44">
        <v>85.19</v>
      </c>
      <c r="BC44">
        <v>28</v>
      </c>
      <c r="BD44">
        <v>76.67</v>
      </c>
      <c r="BE44">
        <f t="shared" si="0"/>
        <v>146</v>
      </c>
      <c r="BF44">
        <f t="shared" si="1"/>
        <v>86.666666666666657</v>
      </c>
      <c r="BG44" t="s">
        <v>757</v>
      </c>
    </row>
    <row r="45" spans="1:59" x14ac:dyDescent="0.3">
      <c r="A45" t="s">
        <v>90</v>
      </c>
      <c r="B45">
        <v>122862</v>
      </c>
      <c r="C45">
        <v>24275485</v>
      </c>
      <c r="D45" t="s">
        <v>91</v>
      </c>
      <c r="E45" t="s">
        <v>61</v>
      </c>
      <c r="F45" t="s">
        <v>69</v>
      </c>
      <c r="G45">
        <v>10</v>
      </c>
      <c r="H45">
        <v>10</v>
      </c>
      <c r="I45">
        <v>9</v>
      </c>
      <c r="J45" t="s">
        <v>63</v>
      </c>
      <c r="L45" t="s">
        <v>63</v>
      </c>
      <c r="M45" t="s">
        <v>63</v>
      </c>
      <c r="N45" t="s">
        <v>63</v>
      </c>
      <c r="O45" t="s">
        <v>63</v>
      </c>
      <c r="Q45" t="s">
        <v>63</v>
      </c>
      <c r="R45" t="s">
        <v>63</v>
      </c>
      <c r="S45" t="s">
        <v>63</v>
      </c>
      <c r="T45" t="s">
        <v>63</v>
      </c>
      <c r="V45" t="s">
        <v>63</v>
      </c>
      <c r="W45" t="s">
        <v>63</v>
      </c>
      <c r="X45" t="s">
        <v>63</v>
      </c>
      <c r="Y45" t="s">
        <v>63</v>
      </c>
      <c r="AA45" t="s">
        <v>63</v>
      </c>
      <c r="AB45" t="s">
        <v>63</v>
      </c>
      <c r="AC45" t="s">
        <v>63</v>
      </c>
      <c r="AD45" t="s">
        <v>63</v>
      </c>
      <c r="AE45">
        <v>142.5</v>
      </c>
      <c r="AF45">
        <v>10</v>
      </c>
      <c r="AG45">
        <v>96.67</v>
      </c>
      <c r="AH45">
        <v>96.67</v>
      </c>
      <c r="AI45">
        <v>96.67</v>
      </c>
      <c r="AJ45">
        <v>96.67</v>
      </c>
      <c r="AT45">
        <v>79.17</v>
      </c>
      <c r="AU45">
        <v>0</v>
      </c>
      <c r="AV45">
        <v>79.17</v>
      </c>
      <c r="AY45">
        <v>0</v>
      </c>
      <c r="AZ45">
        <v>0</v>
      </c>
      <c r="BA45">
        <v>96.67</v>
      </c>
      <c r="BB45">
        <v>85</v>
      </c>
      <c r="BC45">
        <v>29</v>
      </c>
      <c r="BD45">
        <v>76.5</v>
      </c>
      <c r="BE45">
        <f t="shared" si="0"/>
        <v>142.5</v>
      </c>
      <c r="BF45">
        <f t="shared" si="1"/>
        <v>86.5</v>
      </c>
      <c r="BG45" t="s">
        <v>757</v>
      </c>
    </row>
    <row r="46" spans="1:59" x14ac:dyDescent="0.3">
      <c r="A46" t="s">
        <v>664</v>
      </c>
      <c r="B46">
        <v>123031</v>
      </c>
      <c r="C46">
        <v>24265999</v>
      </c>
      <c r="D46" t="s">
        <v>665</v>
      </c>
      <c r="E46" t="s">
        <v>61</v>
      </c>
      <c r="F46" t="s">
        <v>69</v>
      </c>
      <c r="G46">
        <v>10</v>
      </c>
      <c r="H46">
        <v>10</v>
      </c>
      <c r="I46">
        <v>9.5</v>
      </c>
      <c r="J46" t="s">
        <v>63</v>
      </c>
      <c r="L46" t="s">
        <v>63</v>
      </c>
      <c r="M46" t="s">
        <v>63</v>
      </c>
      <c r="N46" t="s">
        <v>63</v>
      </c>
      <c r="O46" t="s">
        <v>63</v>
      </c>
      <c r="Q46" t="s">
        <v>63</v>
      </c>
      <c r="R46" t="s">
        <v>63</v>
      </c>
      <c r="S46" t="s">
        <v>63</v>
      </c>
      <c r="T46" t="s">
        <v>63</v>
      </c>
      <c r="V46" t="s">
        <v>63</v>
      </c>
      <c r="W46" t="s">
        <v>63</v>
      </c>
      <c r="X46" t="s">
        <v>63</v>
      </c>
      <c r="Y46" t="s">
        <v>63</v>
      </c>
      <c r="AA46" t="s">
        <v>63</v>
      </c>
      <c r="AB46" t="s">
        <v>63</v>
      </c>
      <c r="AC46" t="s">
        <v>63</v>
      </c>
      <c r="AD46" t="s">
        <v>63</v>
      </c>
      <c r="AE46">
        <v>141</v>
      </c>
      <c r="AF46">
        <v>10</v>
      </c>
      <c r="AG46">
        <v>98.33</v>
      </c>
      <c r="AH46">
        <v>98.33</v>
      </c>
      <c r="AI46">
        <v>98.33</v>
      </c>
      <c r="AJ46">
        <v>98.33</v>
      </c>
      <c r="AT46">
        <v>78.33</v>
      </c>
      <c r="AU46">
        <v>0</v>
      </c>
      <c r="AV46">
        <v>78.33</v>
      </c>
      <c r="AY46">
        <v>0</v>
      </c>
      <c r="AZ46">
        <v>0</v>
      </c>
      <c r="BA46">
        <v>98.33</v>
      </c>
      <c r="BB46">
        <v>85</v>
      </c>
      <c r="BC46">
        <v>29.5</v>
      </c>
      <c r="BD46">
        <v>76.5</v>
      </c>
      <c r="BE46">
        <f t="shared" si="0"/>
        <v>141</v>
      </c>
      <c r="BF46">
        <f t="shared" si="1"/>
        <v>86.5</v>
      </c>
      <c r="BG46" t="s">
        <v>757</v>
      </c>
    </row>
    <row r="47" spans="1:59" x14ac:dyDescent="0.3">
      <c r="A47" t="s">
        <v>720</v>
      </c>
      <c r="B47">
        <v>122927</v>
      </c>
      <c r="C47">
        <v>24276114</v>
      </c>
      <c r="D47" t="s">
        <v>721</v>
      </c>
      <c r="E47" t="s">
        <v>61</v>
      </c>
      <c r="F47" t="s">
        <v>62</v>
      </c>
      <c r="G47">
        <v>9.5</v>
      </c>
      <c r="H47">
        <v>10</v>
      </c>
      <c r="I47">
        <v>9.5</v>
      </c>
      <c r="J47" t="s">
        <v>63</v>
      </c>
      <c r="K47" t="s">
        <v>63</v>
      </c>
      <c r="L47" t="s">
        <v>63</v>
      </c>
      <c r="M47" t="s">
        <v>63</v>
      </c>
      <c r="O47" t="s">
        <v>63</v>
      </c>
      <c r="P47" t="s">
        <v>63</v>
      </c>
      <c r="Q47" t="s">
        <v>63</v>
      </c>
      <c r="R47" t="s">
        <v>63</v>
      </c>
      <c r="T47" t="s">
        <v>63</v>
      </c>
      <c r="U47" t="s">
        <v>63</v>
      </c>
      <c r="V47" t="s">
        <v>63</v>
      </c>
      <c r="W47" t="s">
        <v>63</v>
      </c>
      <c r="Y47" t="s">
        <v>63</v>
      </c>
      <c r="Z47" t="s">
        <v>63</v>
      </c>
      <c r="AA47" t="s">
        <v>63</v>
      </c>
      <c r="AB47" t="s">
        <v>63</v>
      </c>
      <c r="AD47" t="s">
        <v>63</v>
      </c>
      <c r="AE47">
        <v>142.5</v>
      </c>
      <c r="AF47">
        <v>10</v>
      </c>
      <c r="AG47">
        <v>96.67</v>
      </c>
      <c r="AH47">
        <v>96.67</v>
      </c>
      <c r="AI47">
        <v>96.67</v>
      </c>
      <c r="AJ47">
        <v>96.67</v>
      </c>
      <c r="AT47">
        <v>79.17</v>
      </c>
      <c r="AU47">
        <v>0</v>
      </c>
      <c r="AV47">
        <v>79.17</v>
      </c>
      <c r="AY47">
        <v>0</v>
      </c>
      <c r="AZ47">
        <v>0</v>
      </c>
      <c r="BA47">
        <v>96.67</v>
      </c>
      <c r="BB47">
        <v>85</v>
      </c>
      <c r="BC47">
        <v>29</v>
      </c>
      <c r="BD47">
        <v>76.5</v>
      </c>
      <c r="BE47">
        <v>145.5</v>
      </c>
      <c r="BF47">
        <f t="shared" si="1"/>
        <v>87.5</v>
      </c>
      <c r="BG47" t="s">
        <v>756</v>
      </c>
    </row>
    <row r="48" spans="1:59" x14ac:dyDescent="0.3">
      <c r="A48" t="s">
        <v>428</v>
      </c>
      <c r="B48">
        <v>128318</v>
      </c>
      <c r="C48">
        <v>24342261</v>
      </c>
      <c r="D48" t="s">
        <v>429</v>
      </c>
      <c r="E48" t="s">
        <v>61</v>
      </c>
      <c r="F48" t="s">
        <v>66</v>
      </c>
      <c r="G48">
        <v>10</v>
      </c>
      <c r="H48">
        <v>9</v>
      </c>
      <c r="I48">
        <v>10</v>
      </c>
      <c r="K48" t="s">
        <v>63</v>
      </c>
      <c r="L48" t="s">
        <v>63</v>
      </c>
      <c r="M48" t="s">
        <v>63</v>
      </c>
      <c r="N48" t="s">
        <v>63</v>
      </c>
      <c r="P48" t="s">
        <v>63</v>
      </c>
      <c r="Q48" t="s">
        <v>63</v>
      </c>
      <c r="R48" t="s">
        <v>63</v>
      </c>
      <c r="S48" t="s">
        <v>63</v>
      </c>
      <c r="U48" t="s">
        <v>63</v>
      </c>
      <c r="V48" t="s">
        <v>63</v>
      </c>
      <c r="W48" t="s">
        <v>63</v>
      </c>
      <c r="X48" t="s">
        <v>63</v>
      </c>
      <c r="Z48" t="s">
        <v>63</v>
      </c>
      <c r="AA48" t="s">
        <v>63</v>
      </c>
      <c r="AB48" t="s">
        <v>63</v>
      </c>
      <c r="AC48" t="s">
        <v>63</v>
      </c>
      <c r="AD48" t="s">
        <v>63</v>
      </c>
      <c r="AE48">
        <v>142</v>
      </c>
      <c r="AF48">
        <v>10</v>
      </c>
      <c r="AG48">
        <v>96.67</v>
      </c>
      <c r="AH48">
        <v>96.67</v>
      </c>
      <c r="AI48">
        <v>96.67</v>
      </c>
      <c r="AJ48">
        <v>96.67</v>
      </c>
      <c r="AT48">
        <v>78.89</v>
      </c>
      <c r="AU48">
        <v>0</v>
      </c>
      <c r="AV48">
        <v>78.89</v>
      </c>
      <c r="AY48">
        <v>0</v>
      </c>
      <c r="AZ48">
        <v>0</v>
      </c>
      <c r="BA48">
        <v>96.67</v>
      </c>
      <c r="BB48">
        <v>84.81</v>
      </c>
      <c r="BC48">
        <v>29</v>
      </c>
      <c r="BD48">
        <v>76.33</v>
      </c>
      <c r="BE48">
        <f t="shared" si="0"/>
        <v>142</v>
      </c>
      <c r="BF48">
        <f t="shared" si="1"/>
        <v>86.333333333333343</v>
      </c>
      <c r="BG48" t="s">
        <v>757</v>
      </c>
    </row>
    <row r="49" spans="1:59" x14ac:dyDescent="0.3">
      <c r="A49" t="s">
        <v>548</v>
      </c>
      <c r="B49">
        <v>128504</v>
      </c>
      <c r="C49">
        <v>24345525</v>
      </c>
      <c r="D49" t="s">
        <v>549</v>
      </c>
      <c r="E49" t="s">
        <v>61</v>
      </c>
      <c r="F49" t="s">
        <v>62</v>
      </c>
      <c r="G49">
        <v>10</v>
      </c>
      <c r="H49">
        <v>10</v>
      </c>
      <c r="I49">
        <v>10</v>
      </c>
      <c r="J49" t="s">
        <v>63</v>
      </c>
      <c r="K49" t="s">
        <v>63</v>
      </c>
      <c r="L49" t="s">
        <v>63</v>
      </c>
      <c r="M49" t="s">
        <v>63</v>
      </c>
      <c r="O49" t="s">
        <v>63</v>
      </c>
      <c r="P49" t="s">
        <v>63</v>
      </c>
      <c r="Q49" t="s">
        <v>63</v>
      </c>
      <c r="R49" t="s">
        <v>63</v>
      </c>
      <c r="T49" t="s">
        <v>63</v>
      </c>
      <c r="U49" t="s">
        <v>63</v>
      </c>
      <c r="V49" t="s">
        <v>63</v>
      </c>
      <c r="W49" t="s">
        <v>63</v>
      </c>
      <c r="Y49" t="s">
        <v>63</v>
      </c>
      <c r="Z49" t="s">
        <v>63</v>
      </c>
      <c r="AA49" t="s">
        <v>63</v>
      </c>
      <c r="AB49" t="s">
        <v>63</v>
      </c>
      <c r="AD49" t="s">
        <v>63</v>
      </c>
      <c r="AE49">
        <v>139</v>
      </c>
      <c r="AF49">
        <v>10</v>
      </c>
      <c r="AG49">
        <v>100</v>
      </c>
      <c r="AH49">
        <v>100</v>
      </c>
      <c r="AI49">
        <v>100</v>
      </c>
      <c r="AJ49">
        <v>100</v>
      </c>
      <c r="AT49">
        <v>77.22</v>
      </c>
      <c r="AU49">
        <v>0</v>
      </c>
      <c r="AV49">
        <v>77.22</v>
      </c>
      <c r="AY49">
        <v>0</v>
      </c>
      <c r="AZ49">
        <v>0</v>
      </c>
      <c r="BA49">
        <v>100</v>
      </c>
      <c r="BB49">
        <v>84.81</v>
      </c>
      <c r="BC49">
        <v>30</v>
      </c>
      <c r="BD49">
        <v>76.33</v>
      </c>
      <c r="BE49">
        <f t="shared" si="0"/>
        <v>139</v>
      </c>
      <c r="BF49">
        <f t="shared" si="1"/>
        <v>86.333333333333343</v>
      </c>
      <c r="BG49" t="s">
        <v>757</v>
      </c>
    </row>
    <row r="50" spans="1:59" x14ac:dyDescent="0.3">
      <c r="A50" t="s">
        <v>420</v>
      </c>
      <c r="B50">
        <v>126239</v>
      </c>
      <c r="C50">
        <v>24312562</v>
      </c>
      <c r="D50" t="s">
        <v>421</v>
      </c>
      <c r="E50" t="s">
        <v>61</v>
      </c>
      <c r="F50" t="s">
        <v>77</v>
      </c>
      <c r="G50">
        <v>6.75</v>
      </c>
      <c r="H50">
        <v>10</v>
      </c>
      <c r="I50">
        <v>10</v>
      </c>
      <c r="J50" t="s">
        <v>63</v>
      </c>
      <c r="K50" t="s">
        <v>63</v>
      </c>
      <c r="L50" t="s">
        <v>63</v>
      </c>
      <c r="N50" t="s">
        <v>63</v>
      </c>
      <c r="O50" t="s">
        <v>63</v>
      </c>
      <c r="P50" t="s">
        <v>63</v>
      </c>
      <c r="Q50" t="s">
        <v>63</v>
      </c>
      <c r="S50" t="s">
        <v>63</v>
      </c>
      <c r="T50" t="s">
        <v>63</v>
      </c>
      <c r="U50" t="s">
        <v>63</v>
      </c>
      <c r="V50" t="s">
        <v>63</v>
      </c>
      <c r="X50" t="s">
        <v>63</v>
      </c>
      <c r="Y50" t="s">
        <v>63</v>
      </c>
      <c r="Z50" t="s">
        <v>63</v>
      </c>
      <c r="AA50" t="s">
        <v>63</v>
      </c>
      <c r="AC50" t="s">
        <v>63</v>
      </c>
      <c r="AD50" t="s">
        <v>63</v>
      </c>
      <c r="AE50">
        <v>148.5</v>
      </c>
      <c r="AF50">
        <v>10</v>
      </c>
      <c r="AG50">
        <v>89.17</v>
      </c>
      <c r="AH50">
        <v>89.17</v>
      </c>
      <c r="AI50">
        <v>89.17</v>
      </c>
      <c r="AJ50">
        <v>89.17</v>
      </c>
      <c r="AT50">
        <v>82.5</v>
      </c>
      <c r="AU50">
        <v>0</v>
      </c>
      <c r="AV50">
        <v>82.5</v>
      </c>
      <c r="AY50">
        <v>0</v>
      </c>
      <c r="AZ50">
        <v>0</v>
      </c>
      <c r="BA50">
        <v>89.17</v>
      </c>
      <c r="BB50">
        <v>84.72</v>
      </c>
      <c r="BC50">
        <v>26.75</v>
      </c>
      <c r="BD50">
        <v>76.25</v>
      </c>
      <c r="BE50">
        <f t="shared" si="0"/>
        <v>148.5</v>
      </c>
      <c r="BF50">
        <f t="shared" si="1"/>
        <v>86.25</v>
      </c>
      <c r="BG50" t="s">
        <v>757</v>
      </c>
    </row>
    <row r="51" spans="1:59" x14ac:dyDescent="0.3">
      <c r="A51" t="s">
        <v>440</v>
      </c>
      <c r="B51">
        <v>126679</v>
      </c>
      <c r="C51">
        <v>24319090</v>
      </c>
      <c r="D51" t="s">
        <v>441</v>
      </c>
      <c r="E51" t="s">
        <v>61</v>
      </c>
      <c r="F51" t="s">
        <v>69</v>
      </c>
      <c r="G51">
        <v>8</v>
      </c>
      <c r="H51">
        <v>10</v>
      </c>
      <c r="I51">
        <v>10</v>
      </c>
      <c r="J51" t="s">
        <v>63</v>
      </c>
      <c r="L51" t="s">
        <v>63</v>
      </c>
      <c r="M51" t="s">
        <v>63</v>
      </c>
      <c r="N51" t="s">
        <v>63</v>
      </c>
      <c r="O51" t="s">
        <v>63</v>
      </c>
      <c r="Q51" t="s">
        <v>63</v>
      </c>
      <c r="R51" t="s">
        <v>63</v>
      </c>
      <c r="S51" t="s">
        <v>63</v>
      </c>
      <c r="T51" t="s">
        <v>63</v>
      </c>
      <c r="V51" t="s">
        <v>63</v>
      </c>
      <c r="W51" t="s">
        <v>63</v>
      </c>
      <c r="X51" t="s">
        <v>63</v>
      </c>
      <c r="Y51" t="s">
        <v>63</v>
      </c>
      <c r="AA51" t="s">
        <v>63</v>
      </c>
      <c r="AB51" t="s">
        <v>63</v>
      </c>
      <c r="AC51" t="s">
        <v>63</v>
      </c>
      <c r="AD51" t="s">
        <v>63</v>
      </c>
      <c r="AE51">
        <v>144</v>
      </c>
      <c r="AF51">
        <v>10</v>
      </c>
      <c r="AG51">
        <v>93.33</v>
      </c>
      <c r="AH51">
        <v>93.33</v>
      </c>
      <c r="AI51">
        <v>93.33</v>
      </c>
      <c r="AJ51">
        <v>93.33</v>
      </c>
      <c r="AT51">
        <v>80</v>
      </c>
      <c r="AU51">
        <v>0</v>
      </c>
      <c r="AV51">
        <v>80</v>
      </c>
      <c r="AY51">
        <v>0</v>
      </c>
      <c r="AZ51">
        <v>0</v>
      </c>
      <c r="BA51">
        <v>93.33</v>
      </c>
      <c r="BB51">
        <v>84.44</v>
      </c>
      <c r="BC51">
        <v>28</v>
      </c>
      <c r="BD51">
        <v>76</v>
      </c>
      <c r="BE51">
        <f t="shared" si="0"/>
        <v>144</v>
      </c>
      <c r="BF51">
        <f t="shared" si="1"/>
        <v>86</v>
      </c>
      <c r="BG51" t="s">
        <v>757</v>
      </c>
    </row>
    <row r="52" spans="1:59" x14ac:dyDescent="0.3">
      <c r="A52" t="s">
        <v>520</v>
      </c>
      <c r="B52">
        <v>128263</v>
      </c>
      <c r="C52">
        <v>24342601</v>
      </c>
      <c r="D52" t="s">
        <v>521</v>
      </c>
      <c r="E52" t="s">
        <v>61</v>
      </c>
      <c r="F52" t="s">
        <v>72</v>
      </c>
      <c r="G52">
        <v>9.5</v>
      </c>
      <c r="H52">
        <v>10</v>
      </c>
      <c r="I52">
        <v>10</v>
      </c>
      <c r="J52" t="s">
        <v>63</v>
      </c>
      <c r="K52" t="s">
        <v>63</v>
      </c>
      <c r="M52" t="s">
        <v>63</v>
      </c>
      <c r="N52" t="s">
        <v>63</v>
      </c>
      <c r="O52" t="s">
        <v>63</v>
      </c>
      <c r="P52" t="s">
        <v>63</v>
      </c>
      <c r="R52" t="s">
        <v>63</v>
      </c>
      <c r="S52" t="s">
        <v>63</v>
      </c>
      <c r="T52" t="s">
        <v>63</v>
      </c>
      <c r="U52" t="s">
        <v>63</v>
      </c>
      <c r="W52" t="s">
        <v>63</v>
      </c>
      <c r="X52" t="s">
        <v>63</v>
      </c>
      <c r="Y52" t="s">
        <v>63</v>
      </c>
      <c r="Z52" t="s">
        <v>63</v>
      </c>
      <c r="AB52" t="s">
        <v>63</v>
      </c>
      <c r="AC52" t="s">
        <v>63</v>
      </c>
      <c r="AD52" t="s">
        <v>63</v>
      </c>
      <c r="AE52">
        <v>139.5</v>
      </c>
      <c r="AF52">
        <v>10</v>
      </c>
      <c r="AG52">
        <v>98.33</v>
      </c>
      <c r="AH52">
        <v>98.33</v>
      </c>
      <c r="AI52">
        <v>98.33</v>
      </c>
      <c r="AJ52">
        <v>98.33</v>
      </c>
      <c r="AT52">
        <v>77.5</v>
      </c>
      <c r="AU52">
        <v>0</v>
      </c>
      <c r="AV52">
        <v>77.5</v>
      </c>
      <c r="AY52">
        <v>0</v>
      </c>
      <c r="AZ52">
        <v>0</v>
      </c>
      <c r="BA52">
        <v>98.33</v>
      </c>
      <c r="BB52">
        <v>84.44</v>
      </c>
      <c r="BC52">
        <v>29.5</v>
      </c>
      <c r="BD52">
        <v>76</v>
      </c>
      <c r="BE52">
        <f t="shared" si="0"/>
        <v>139.5</v>
      </c>
      <c r="BF52">
        <f t="shared" si="1"/>
        <v>86</v>
      </c>
      <c r="BG52" t="s">
        <v>757</v>
      </c>
    </row>
    <row r="53" spans="1:59" x14ac:dyDescent="0.3">
      <c r="A53" t="s">
        <v>600</v>
      </c>
      <c r="B53">
        <v>127762</v>
      </c>
      <c r="C53">
        <v>24335512</v>
      </c>
      <c r="D53" t="s">
        <v>601</v>
      </c>
      <c r="E53" t="s">
        <v>61</v>
      </c>
      <c r="F53" t="s">
        <v>72</v>
      </c>
      <c r="G53">
        <v>8</v>
      </c>
      <c r="H53">
        <v>10</v>
      </c>
      <c r="I53">
        <v>10</v>
      </c>
      <c r="J53" t="s">
        <v>63</v>
      </c>
      <c r="K53" t="s">
        <v>63</v>
      </c>
      <c r="M53" t="s">
        <v>63</v>
      </c>
      <c r="N53" t="s">
        <v>63</v>
      </c>
      <c r="O53" t="s">
        <v>63</v>
      </c>
      <c r="P53" t="s">
        <v>63</v>
      </c>
      <c r="R53" t="s">
        <v>63</v>
      </c>
      <c r="S53" t="s">
        <v>63</v>
      </c>
      <c r="T53" t="s">
        <v>63</v>
      </c>
      <c r="U53" t="s">
        <v>63</v>
      </c>
      <c r="W53" t="s">
        <v>63</v>
      </c>
      <c r="X53" t="s">
        <v>63</v>
      </c>
      <c r="Y53" t="s">
        <v>63</v>
      </c>
      <c r="Z53" t="s">
        <v>63</v>
      </c>
      <c r="AB53" t="s">
        <v>63</v>
      </c>
      <c r="AC53" t="s">
        <v>63</v>
      </c>
      <c r="AD53" t="s">
        <v>63</v>
      </c>
      <c r="AE53">
        <v>144</v>
      </c>
      <c r="AF53">
        <v>10</v>
      </c>
      <c r="AG53">
        <v>93.33</v>
      </c>
      <c r="AH53">
        <v>93.33</v>
      </c>
      <c r="AI53">
        <v>93.33</v>
      </c>
      <c r="AJ53">
        <v>93.33</v>
      </c>
      <c r="AT53">
        <v>80</v>
      </c>
      <c r="AU53">
        <v>0</v>
      </c>
      <c r="AV53">
        <v>80</v>
      </c>
      <c r="AY53">
        <v>0</v>
      </c>
      <c r="AZ53">
        <v>0</v>
      </c>
      <c r="BA53">
        <v>93.33</v>
      </c>
      <c r="BB53">
        <v>84.44</v>
      </c>
      <c r="BC53">
        <v>28</v>
      </c>
      <c r="BD53">
        <v>76</v>
      </c>
      <c r="BE53">
        <f t="shared" si="0"/>
        <v>144</v>
      </c>
      <c r="BF53">
        <f t="shared" si="1"/>
        <v>86</v>
      </c>
      <c r="BG53" t="s">
        <v>757</v>
      </c>
    </row>
    <row r="54" spans="1:59" x14ac:dyDescent="0.3">
      <c r="A54" t="s">
        <v>190</v>
      </c>
      <c r="B54">
        <v>109446</v>
      </c>
      <c r="C54">
        <v>24115923</v>
      </c>
      <c r="D54" t="s">
        <v>191</v>
      </c>
      <c r="E54" t="s">
        <v>61</v>
      </c>
      <c r="F54" t="s">
        <v>69</v>
      </c>
      <c r="G54">
        <v>9.5</v>
      </c>
      <c r="H54">
        <v>10</v>
      </c>
      <c r="I54">
        <v>10</v>
      </c>
      <c r="J54" t="s">
        <v>63</v>
      </c>
      <c r="L54" t="s">
        <v>63</v>
      </c>
      <c r="M54" t="s">
        <v>63</v>
      </c>
      <c r="N54" t="s">
        <v>63</v>
      </c>
      <c r="O54" t="s">
        <v>63</v>
      </c>
      <c r="Q54" t="s">
        <v>63</v>
      </c>
      <c r="R54" t="s">
        <v>63</v>
      </c>
      <c r="S54" t="s">
        <v>63</v>
      </c>
      <c r="T54" t="s">
        <v>63</v>
      </c>
      <c r="V54" t="s">
        <v>63</v>
      </c>
      <c r="W54" t="s">
        <v>63</v>
      </c>
      <c r="X54" t="s">
        <v>63</v>
      </c>
      <c r="Y54" t="s">
        <v>63</v>
      </c>
      <c r="AA54" t="s">
        <v>63</v>
      </c>
      <c r="AB54" t="s">
        <v>63</v>
      </c>
      <c r="AC54" t="s">
        <v>63</v>
      </c>
      <c r="AD54" t="s">
        <v>63</v>
      </c>
      <c r="AE54">
        <v>139</v>
      </c>
      <c r="AF54">
        <v>10</v>
      </c>
      <c r="AG54">
        <v>98.33</v>
      </c>
      <c r="AH54">
        <v>98.33</v>
      </c>
      <c r="AI54">
        <v>98.33</v>
      </c>
      <c r="AJ54">
        <v>98.33</v>
      </c>
      <c r="AT54">
        <v>77.22</v>
      </c>
      <c r="AU54">
        <v>0</v>
      </c>
      <c r="AV54">
        <v>77.22</v>
      </c>
      <c r="AY54">
        <v>0</v>
      </c>
      <c r="AZ54">
        <v>0</v>
      </c>
      <c r="BA54">
        <v>98.33</v>
      </c>
      <c r="BB54">
        <v>84.26</v>
      </c>
      <c r="BC54">
        <v>29.5</v>
      </c>
      <c r="BD54">
        <v>75.83</v>
      </c>
      <c r="BE54">
        <f t="shared" si="0"/>
        <v>139</v>
      </c>
      <c r="BF54">
        <f t="shared" si="1"/>
        <v>85.833333333333343</v>
      </c>
      <c r="BG54" t="s">
        <v>757</v>
      </c>
    </row>
    <row r="55" spans="1:59" x14ac:dyDescent="0.3">
      <c r="A55" t="s">
        <v>252</v>
      </c>
      <c r="B55">
        <v>123020</v>
      </c>
      <c r="C55">
        <v>24265863</v>
      </c>
      <c r="D55" t="s">
        <v>253</v>
      </c>
      <c r="E55" t="s">
        <v>61</v>
      </c>
      <c r="F55" t="s">
        <v>62</v>
      </c>
      <c r="G55">
        <v>10</v>
      </c>
      <c r="H55">
        <v>9</v>
      </c>
      <c r="I55">
        <v>10</v>
      </c>
      <c r="J55" t="s">
        <v>63</v>
      </c>
      <c r="K55" t="s">
        <v>63</v>
      </c>
      <c r="L55" t="s">
        <v>63</v>
      </c>
      <c r="M55" t="s">
        <v>63</v>
      </c>
      <c r="O55" t="s">
        <v>63</v>
      </c>
      <c r="P55" t="s">
        <v>63</v>
      </c>
      <c r="Q55" t="s">
        <v>63</v>
      </c>
      <c r="R55" t="s">
        <v>63</v>
      </c>
      <c r="T55" t="s">
        <v>63</v>
      </c>
      <c r="U55" t="s">
        <v>63</v>
      </c>
      <c r="V55" t="s">
        <v>63</v>
      </c>
      <c r="W55" t="s">
        <v>63</v>
      </c>
      <c r="Y55" t="s">
        <v>63</v>
      </c>
      <c r="Z55" t="s">
        <v>63</v>
      </c>
      <c r="AA55" t="s">
        <v>63</v>
      </c>
      <c r="AB55" t="s">
        <v>63</v>
      </c>
      <c r="AD55" t="s">
        <v>63</v>
      </c>
      <c r="AE55">
        <v>140.5</v>
      </c>
      <c r="AF55">
        <v>10</v>
      </c>
      <c r="AG55">
        <v>96.67</v>
      </c>
      <c r="AH55">
        <v>96.67</v>
      </c>
      <c r="AI55">
        <v>96.67</v>
      </c>
      <c r="AJ55">
        <v>96.67</v>
      </c>
      <c r="AT55">
        <v>78.06</v>
      </c>
      <c r="AU55">
        <v>0</v>
      </c>
      <c r="AV55">
        <v>78.06</v>
      </c>
      <c r="AY55">
        <v>0</v>
      </c>
      <c r="AZ55">
        <v>0</v>
      </c>
      <c r="BA55">
        <v>96.67</v>
      </c>
      <c r="BB55">
        <v>84.26</v>
      </c>
      <c r="BC55">
        <v>29</v>
      </c>
      <c r="BD55">
        <v>75.83</v>
      </c>
      <c r="BE55">
        <f t="shared" si="0"/>
        <v>140.5</v>
      </c>
      <c r="BF55">
        <f t="shared" si="1"/>
        <v>85.833333333333343</v>
      </c>
      <c r="BG55" t="s">
        <v>757</v>
      </c>
    </row>
    <row r="56" spans="1:59" x14ac:dyDescent="0.3">
      <c r="A56" t="s">
        <v>96</v>
      </c>
      <c r="B56">
        <v>122961</v>
      </c>
      <c r="C56">
        <v>24274924</v>
      </c>
      <c r="D56" t="s">
        <v>97</v>
      </c>
      <c r="E56" t="s">
        <v>61</v>
      </c>
      <c r="F56" t="s">
        <v>69</v>
      </c>
      <c r="G56">
        <v>10</v>
      </c>
      <c r="H56">
        <v>10</v>
      </c>
      <c r="I56">
        <v>10</v>
      </c>
      <c r="J56" t="s">
        <v>63</v>
      </c>
      <c r="L56" t="s">
        <v>63</v>
      </c>
      <c r="M56" t="s">
        <v>63</v>
      </c>
      <c r="N56" t="s">
        <v>63</v>
      </c>
      <c r="O56" t="s">
        <v>63</v>
      </c>
      <c r="Q56" t="s">
        <v>63</v>
      </c>
      <c r="R56" t="s">
        <v>63</v>
      </c>
      <c r="S56" t="s">
        <v>63</v>
      </c>
      <c r="T56" t="s">
        <v>63</v>
      </c>
      <c r="V56" t="s">
        <v>63</v>
      </c>
      <c r="W56" t="s">
        <v>63</v>
      </c>
      <c r="X56" t="s">
        <v>63</v>
      </c>
      <c r="Y56" t="s">
        <v>63</v>
      </c>
      <c r="AA56" t="s">
        <v>63</v>
      </c>
      <c r="AB56" t="s">
        <v>63</v>
      </c>
      <c r="AC56" t="s">
        <v>63</v>
      </c>
      <c r="AD56" t="s">
        <v>63</v>
      </c>
      <c r="AE56">
        <v>136.5</v>
      </c>
      <c r="AF56">
        <v>10</v>
      </c>
      <c r="AG56">
        <v>100</v>
      </c>
      <c r="AH56">
        <v>100</v>
      </c>
      <c r="AI56">
        <v>100</v>
      </c>
      <c r="AJ56">
        <v>100</v>
      </c>
      <c r="AT56">
        <v>75.83</v>
      </c>
      <c r="AU56">
        <v>0</v>
      </c>
      <c r="AV56">
        <v>75.83</v>
      </c>
      <c r="AY56">
        <v>0</v>
      </c>
      <c r="AZ56">
        <v>0</v>
      </c>
      <c r="BA56">
        <v>100</v>
      </c>
      <c r="BB56">
        <v>83.89</v>
      </c>
      <c r="BC56">
        <v>30</v>
      </c>
      <c r="BD56">
        <v>75.5</v>
      </c>
      <c r="BE56">
        <f t="shared" si="0"/>
        <v>136.5</v>
      </c>
      <c r="BF56">
        <f t="shared" si="1"/>
        <v>85.5</v>
      </c>
      <c r="BG56" t="s">
        <v>757</v>
      </c>
    </row>
    <row r="57" spans="1:59" x14ac:dyDescent="0.3">
      <c r="A57" t="s">
        <v>120</v>
      </c>
      <c r="B57">
        <v>126796</v>
      </c>
      <c r="C57">
        <v>24320892</v>
      </c>
      <c r="D57" t="s">
        <v>121</v>
      </c>
      <c r="E57" t="s">
        <v>61</v>
      </c>
      <c r="F57" t="s">
        <v>77</v>
      </c>
      <c r="G57">
        <v>9</v>
      </c>
      <c r="H57">
        <v>10</v>
      </c>
      <c r="I57">
        <v>10</v>
      </c>
      <c r="J57" t="s">
        <v>63</v>
      </c>
      <c r="K57" t="s">
        <v>63</v>
      </c>
      <c r="L57" t="s">
        <v>63</v>
      </c>
      <c r="N57" t="s">
        <v>63</v>
      </c>
      <c r="O57" t="s">
        <v>63</v>
      </c>
      <c r="P57" t="s">
        <v>63</v>
      </c>
      <c r="Q57" t="s">
        <v>63</v>
      </c>
      <c r="S57" t="s">
        <v>63</v>
      </c>
      <c r="T57" t="s">
        <v>63</v>
      </c>
      <c r="U57" t="s">
        <v>63</v>
      </c>
      <c r="V57" t="s">
        <v>63</v>
      </c>
      <c r="X57" t="s">
        <v>63</v>
      </c>
      <c r="Y57" t="s">
        <v>63</v>
      </c>
      <c r="Z57" t="s">
        <v>63</v>
      </c>
      <c r="AA57" t="s">
        <v>63</v>
      </c>
      <c r="AC57" t="s">
        <v>63</v>
      </c>
      <c r="AD57" t="s">
        <v>63</v>
      </c>
      <c r="AE57">
        <v>139.5</v>
      </c>
      <c r="AF57">
        <v>10</v>
      </c>
      <c r="AG57">
        <v>96.67</v>
      </c>
      <c r="AH57">
        <v>96.67</v>
      </c>
      <c r="AI57">
        <v>96.67</v>
      </c>
      <c r="AJ57">
        <v>96.67</v>
      </c>
      <c r="AT57">
        <v>77.5</v>
      </c>
      <c r="AU57">
        <v>0</v>
      </c>
      <c r="AV57">
        <v>77.5</v>
      </c>
      <c r="AY57">
        <v>0</v>
      </c>
      <c r="AZ57">
        <v>0</v>
      </c>
      <c r="BA57">
        <v>96.67</v>
      </c>
      <c r="BB57">
        <v>83.89</v>
      </c>
      <c r="BC57">
        <v>29</v>
      </c>
      <c r="BD57">
        <v>75.5</v>
      </c>
      <c r="BE57">
        <f t="shared" si="0"/>
        <v>139.5</v>
      </c>
      <c r="BF57">
        <f t="shared" si="1"/>
        <v>85.5</v>
      </c>
      <c r="BG57" t="s">
        <v>757</v>
      </c>
    </row>
    <row r="58" spans="1:59" x14ac:dyDescent="0.3">
      <c r="A58" t="s">
        <v>240</v>
      </c>
      <c r="B58">
        <v>122871</v>
      </c>
      <c r="C58">
        <v>24275740</v>
      </c>
      <c r="D58" t="s">
        <v>241</v>
      </c>
      <c r="E58" t="s">
        <v>61</v>
      </c>
      <c r="F58" t="s">
        <v>77</v>
      </c>
      <c r="G58">
        <v>9</v>
      </c>
      <c r="H58">
        <v>10</v>
      </c>
      <c r="I58">
        <v>10</v>
      </c>
      <c r="J58" t="s">
        <v>63</v>
      </c>
      <c r="K58" t="s">
        <v>63</v>
      </c>
      <c r="L58" t="s">
        <v>63</v>
      </c>
      <c r="N58" t="s">
        <v>63</v>
      </c>
      <c r="O58" t="s">
        <v>63</v>
      </c>
      <c r="P58" t="s">
        <v>63</v>
      </c>
      <c r="Q58" t="s">
        <v>63</v>
      </c>
      <c r="S58" t="s">
        <v>63</v>
      </c>
      <c r="T58" t="s">
        <v>63</v>
      </c>
      <c r="U58" t="s">
        <v>63</v>
      </c>
      <c r="V58" t="s">
        <v>63</v>
      </c>
      <c r="X58" t="s">
        <v>63</v>
      </c>
      <c r="Y58" t="s">
        <v>63</v>
      </c>
      <c r="Z58" t="s">
        <v>63</v>
      </c>
      <c r="AA58" t="s">
        <v>63</v>
      </c>
      <c r="AC58" t="s">
        <v>63</v>
      </c>
      <c r="AD58" t="s">
        <v>63</v>
      </c>
      <c r="AE58">
        <v>139.5</v>
      </c>
      <c r="AF58">
        <v>10</v>
      </c>
      <c r="AG58">
        <v>96.67</v>
      </c>
      <c r="AH58">
        <v>96.67</v>
      </c>
      <c r="AI58">
        <v>96.67</v>
      </c>
      <c r="AJ58">
        <v>96.67</v>
      </c>
      <c r="AT58">
        <v>77.5</v>
      </c>
      <c r="AU58">
        <v>0</v>
      </c>
      <c r="AV58">
        <v>77.5</v>
      </c>
      <c r="AY58">
        <v>0</v>
      </c>
      <c r="AZ58">
        <v>0</v>
      </c>
      <c r="BA58">
        <v>96.67</v>
      </c>
      <c r="BB58">
        <v>83.89</v>
      </c>
      <c r="BC58">
        <v>29</v>
      </c>
      <c r="BD58">
        <v>75.5</v>
      </c>
      <c r="BE58">
        <f t="shared" si="0"/>
        <v>139.5</v>
      </c>
      <c r="BF58">
        <f t="shared" si="1"/>
        <v>85.5</v>
      </c>
      <c r="BG58" t="s">
        <v>757</v>
      </c>
    </row>
    <row r="59" spans="1:59" x14ac:dyDescent="0.3">
      <c r="A59" t="s">
        <v>264</v>
      </c>
      <c r="B59">
        <v>127311</v>
      </c>
      <c r="C59">
        <v>24330157</v>
      </c>
      <c r="D59" t="s">
        <v>265</v>
      </c>
      <c r="E59" t="s">
        <v>61</v>
      </c>
      <c r="F59" t="s">
        <v>77</v>
      </c>
      <c r="G59">
        <v>8</v>
      </c>
      <c r="H59">
        <v>10</v>
      </c>
      <c r="I59">
        <v>10</v>
      </c>
      <c r="J59" t="s">
        <v>63</v>
      </c>
      <c r="K59" t="s">
        <v>63</v>
      </c>
      <c r="L59" t="s">
        <v>63</v>
      </c>
      <c r="N59" t="s">
        <v>63</v>
      </c>
      <c r="O59" t="s">
        <v>63</v>
      </c>
      <c r="P59" t="s">
        <v>63</v>
      </c>
      <c r="Q59" t="s">
        <v>63</v>
      </c>
      <c r="S59" t="s">
        <v>63</v>
      </c>
      <c r="T59" t="s">
        <v>63</v>
      </c>
      <c r="U59" t="s">
        <v>63</v>
      </c>
      <c r="V59" t="s">
        <v>63</v>
      </c>
      <c r="X59" t="s">
        <v>63</v>
      </c>
      <c r="Y59" t="s">
        <v>63</v>
      </c>
      <c r="Z59" t="s">
        <v>63</v>
      </c>
      <c r="AA59" t="s">
        <v>63</v>
      </c>
      <c r="AC59" t="s">
        <v>63</v>
      </c>
      <c r="AD59" t="s">
        <v>63</v>
      </c>
      <c r="AE59">
        <v>142.5</v>
      </c>
      <c r="AF59">
        <v>10</v>
      </c>
      <c r="AG59">
        <v>93.33</v>
      </c>
      <c r="AH59">
        <v>93.33</v>
      </c>
      <c r="AI59">
        <v>93.33</v>
      </c>
      <c r="AJ59">
        <v>93.33</v>
      </c>
      <c r="AT59">
        <v>79.17</v>
      </c>
      <c r="AU59">
        <v>0</v>
      </c>
      <c r="AV59">
        <v>79.17</v>
      </c>
      <c r="AY59">
        <v>0</v>
      </c>
      <c r="AZ59">
        <v>0</v>
      </c>
      <c r="BA59">
        <v>93.33</v>
      </c>
      <c r="BB59">
        <v>83.89</v>
      </c>
      <c r="BC59">
        <v>28</v>
      </c>
      <c r="BD59">
        <v>75.5</v>
      </c>
      <c r="BE59">
        <f t="shared" si="0"/>
        <v>142.5</v>
      </c>
      <c r="BF59">
        <f t="shared" si="1"/>
        <v>85.5</v>
      </c>
      <c r="BG59" t="s">
        <v>757</v>
      </c>
    </row>
    <row r="60" spans="1:59" x14ac:dyDescent="0.3">
      <c r="A60" t="s">
        <v>478</v>
      </c>
      <c r="B60">
        <v>123005</v>
      </c>
      <c r="C60">
        <v>24265931</v>
      </c>
      <c r="D60" t="s">
        <v>479</v>
      </c>
      <c r="E60" t="s">
        <v>61</v>
      </c>
      <c r="F60" t="s">
        <v>72</v>
      </c>
      <c r="G60">
        <v>10</v>
      </c>
      <c r="H60">
        <v>9.5</v>
      </c>
      <c r="I60">
        <v>9.5</v>
      </c>
      <c r="J60" t="s">
        <v>63</v>
      </c>
      <c r="K60" t="s">
        <v>63</v>
      </c>
      <c r="M60" t="s">
        <v>63</v>
      </c>
      <c r="N60" t="s">
        <v>63</v>
      </c>
      <c r="O60" t="s">
        <v>63</v>
      </c>
      <c r="P60" t="s">
        <v>63</v>
      </c>
      <c r="R60" t="s">
        <v>63</v>
      </c>
      <c r="S60" t="s">
        <v>63</v>
      </c>
      <c r="T60" t="s">
        <v>63</v>
      </c>
      <c r="U60" t="s">
        <v>63</v>
      </c>
      <c r="W60" t="s">
        <v>63</v>
      </c>
      <c r="X60" t="s">
        <v>63</v>
      </c>
      <c r="Y60" t="s">
        <v>63</v>
      </c>
      <c r="Z60" t="s">
        <v>63</v>
      </c>
      <c r="AB60" t="s">
        <v>63</v>
      </c>
      <c r="AC60" t="s">
        <v>63</v>
      </c>
      <c r="AD60" t="s">
        <v>63</v>
      </c>
      <c r="AE60">
        <v>139.5</v>
      </c>
      <c r="AF60">
        <v>10</v>
      </c>
      <c r="AG60">
        <v>96.67</v>
      </c>
      <c r="AH60">
        <v>96.67</v>
      </c>
      <c r="AI60">
        <v>96.67</v>
      </c>
      <c r="AJ60">
        <v>96.67</v>
      </c>
      <c r="AT60">
        <v>77.5</v>
      </c>
      <c r="AU60">
        <v>0</v>
      </c>
      <c r="AV60">
        <v>77.5</v>
      </c>
      <c r="AY60">
        <v>0</v>
      </c>
      <c r="AZ60">
        <v>0</v>
      </c>
      <c r="BA60">
        <v>96.67</v>
      </c>
      <c r="BB60">
        <v>83.89</v>
      </c>
      <c r="BC60">
        <v>29</v>
      </c>
      <c r="BD60">
        <v>75.5</v>
      </c>
      <c r="BE60">
        <f t="shared" si="0"/>
        <v>139.5</v>
      </c>
      <c r="BF60">
        <f t="shared" si="1"/>
        <v>85.5</v>
      </c>
      <c r="BG60" t="s">
        <v>757</v>
      </c>
    </row>
    <row r="61" spans="1:59" x14ac:dyDescent="0.3">
      <c r="A61" t="s">
        <v>654</v>
      </c>
      <c r="B61">
        <v>126252</v>
      </c>
      <c r="C61">
        <v>24311100</v>
      </c>
      <c r="D61" t="s">
        <v>655</v>
      </c>
      <c r="E61" t="s">
        <v>61</v>
      </c>
      <c r="F61" t="s">
        <v>66</v>
      </c>
      <c r="G61">
        <v>7.5</v>
      </c>
      <c r="H61">
        <v>10</v>
      </c>
      <c r="I61">
        <v>8</v>
      </c>
      <c r="K61" t="s">
        <v>63</v>
      </c>
      <c r="L61" t="s">
        <v>63</v>
      </c>
      <c r="M61" t="s">
        <v>63</v>
      </c>
      <c r="N61" t="s">
        <v>63</v>
      </c>
      <c r="P61" t="s">
        <v>63</v>
      </c>
      <c r="Q61" t="s">
        <v>63</v>
      </c>
      <c r="R61" t="s">
        <v>63</v>
      </c>
      <c r="S61" t="s">
        <v>63</v>
      </c>
      <c r="U61" t="s">
        <v>63</v>
      </c>
      <c r="V61" t="s">
        <v>63</v>
      </c>
      <c r="W61" t="s">
        <v>63</v>
      </c>
      <c r="X61" t="s">
        <v>63</v>
      </c>
      <c r="Z61" t="s">
        <v>63</v>
      </c>
      <c r="AA61" t="s">
        <v>63</v>
      </c>
      <c r="AB61" t="s">
        <v>63</v>
      </c>
      <c r="AC61" t="s">
        <v>63</v>
      </c>
      <c r="AD61" t="s">
        <v>63</v>
      </c>
      <c r="AE61">
        <v>150</v>
      </c>
      <c r="AF61">
        <v>10</v>
      </c>
      <c r="AG61">
        <v>85</v>
      </c>
      <c r="AH61">
        <v>85</v>
      </c>
      <c r="AI61">
        <v>85</v>
      </c>
      <c r="AJ61">
        <v>85</v>
      </c>
      <c r="AT61">
        <v>83.33</v>
      </c>
      <c r="AU61">
        <v>0</v>
      </c>
      <c r="AV61">
        <v>83.33</v>
      </c>
      <c r="AY61">
        <v>0</v>
      </c>
      <c r="AZ61">
        <v>0</v>
      </c>
      <c r="BA61">
        <v>85</v>
      </c>
      <c r="BB61">
        <v>83.89</v>
      </c>
      <c r="BC61">
        <v>25.5</v>
      </c>
      <c r="BD61">
        <v>75.5</v>
      </c>
      <c r="BE61">
        <f t="shared" si="0"/>
        <v>150</v>
      </c>
      <c r="BF61">
        <f t="shared" si="1"/>
        <v>85.5</v>
      </c>
      <c r="BG61" t="s">
        <v>757</v>
      </c>
    </row>
    <row r="62" spans="1:59" x14ac:dyDescent="0.3">
      <c r="A62" t="s">
        <v>696</v>
      </c>
      <c r="B62">
        <v>127589</v>
      </c>
      <c r="C62">
        <v>24332945</v>
      </c>
      <c r="D62" t="s">
        <v>697</v>
      </c>
      <c r="E62" t="s">
        <v>61</v>
      </c>
      <c r="F62" t="s">
        <v>77</v>
      </c>
      <c r="G62">
        <v>9</v>
      </c>
      <c r="H62">
        <v>10</v>
      </c>
      <c r="I62">
        <v>9.5</v>
      </c>
      <c r="J62" t="s">
        <v>63</v>
      </c>
      <c r="K62" t="s">
        <v>63</v>
      </c>
      <c r="L62" t="s">
        <v>63</v>
      </c>
      <c r="N62" t="s">
        <v>63</v>
      </c>
      <c r="O62" t="s">
        <v>63</v>
      </c>
      <c r="P62" t="s">
        <v>63</v>
      </c>
      <c r="Q62" t="s">
        <v>63</v>
      </c>
      <c r="S62" t="s">
        <v>63</v>
      </c>
      <c r="T62" t="s">
        <v>63</v>
      </c>
      <c r="U62" t="s">
        <v>63</v>
      </c>
      <c r="V62" t="s">
        <v>63</v>
      </c>
      <c r="X62" t="s">
        <v>63</v>
      </c>
      <c r="Y62" t="s">
        <v>63</v>
      </c>
      <c r="Z62" t="s">
        <v>63</v>
      </c>
      <c r="AA62" t="s">
        <v>63</v>
      </c>
      <c r="AC62" t="s">
        <v>63</v>
      </c>
      <c r="AD62" t="s">
        <v>63</v>
      </c>
      <c r="AE62">
        <v>141</v>
      </c>
      <c r="AF62">
        <v>10</v>
      </c>
      <c r="AG62">
        <v>95</v>
      </c>
      <c r="AH62">
        <v>95</v>
      </c>
      <c r="AI62">
        <v>95</v>
      </c>
      <c r="AJ62">
        <v>95</v>
      </c>
      <c r="AT62">
        <v>78.33</v>
      </c>
      <c r="AU62">
        <v>0</v>
      </c>
      <c r="AV62">
        <v>78.33</v>
      </c>
      <c r="AY62">
        <v>0</v>
      </c>
      <c r="AZ62">
        <v>0</v>
      </c>
      <c r="BA62">
        <v>95</v>
      </c>
      <c r="BB62">
        <v>83.89</v>
      </c>
      <c r="BC62">
        <v>28.5</v>
      </c>
      <c r="BD62">
        <v>75.5</v>
      </c>
      <c r="BE62">
        <f t="shared" si="0"/>
        <v>141</v>
      </c>
      <c r="BF62">
        <f t="shared" si="1"/>
        <v>85.5</v>
      </c>
      <c r="BG62" t="s">
        <v>757</v>
      </c>
    </row>
    <row r="63" spans="1:59" x14ac:dyDescent="0.3">
      <c r="A63" t="s">
        <v>196</v>
      </c>
      <c r="B63">
        <v>126571</v>
      </c>
      <c r="C63">
        <v>24316914</v>
      </c>
      <c r="D63" t="s">
        <v>197</v>
      </c>
      <c r="E63" t="s">
        <v>61</v>
      </c>
      <c r="F63" t="s">
        <v>66</v>
      </c>
      <c r="G63">
        <v>7.5</v>
      </c>
      <c r="H63">
        <v>7.75</v>
      </c>
      <c r="I63">
        <v>9.5</v>
      </c>
      <c r="K63" t="s">
        <v>63</v>
      </c>
      <c r="L63" t="s">
        <v>63</v>
      </c>
      <c r="M63" t="s">
        <v>63</v>
      </c>
      <c r="N63" t="s">
        <v>63</v>
      </c>
      <c r="P63" t="s">
        <v>63</v>
      </c>
      <c r="Q63" t="s">
        <v>63</v>
      </c>
      <c r="R63" t="s">
        <v>63</v>
      </c>
      <c r="S63" t="s">
        <v>63</v>
      </c>
      <c r="U63" t="s">
        <v>63</v>
      </c>
      <c r="V63" t="s">
        <v>63</v>
      </c>
      <c r="W63" t="s">
        <v>63</v>
      </c>
      <c r="X63" t="s">
        <v>63</v>
      </c>
      <c r="Z63" t="s">
        <v>63</v>
      </c>
      <c r="AA63" t="s">
        <v>63</v>
      </c>
      <c r="AB63" t="s">
        <v>63</v>
      </c>
      <c r="AC63" t="s">
        <v>63</v>
      </c>
      <c r="AD63" t="s">
        <v>63</v>
      </c>
      <c r="AE63">
        <v>152</v>
      </c>
      <c r="AF63">
        <v>10</v>
      </c>
      <c r="AG63">
        <v>82.5</v>
      </c>
      <c r="AH63">
        <v>82.5</v>
      </c>
      <c r="AI63">
        <v>82.5</v>
      </c>
      <c r="AJ63">
        <v>82.5</v>
      </c>
      <c r="AT63">
        <v>84.44</v>
      </c>
      <c r="AU63">
        <v>0</v>
      </c>
      <c r="AV63">
        <v>84.44</v>
      </c>
      <c r="AY63">
        <v>0</v>
      </c>
      <c r="AZ63">
        <v>0</v>
      </c>
      <c r="BA63">
        <v>82.5</v>
      </c>
      <c r="BB63">
        <v>83.8</v>
      </c>
      <c r="BC63">
        <v>24.75</v>
      </c>
      <c r="BD63">
        <v>75.42</v>
      </c>
      <c r="BE63">
        <f t="shared" si="0"/>
        <v>152</v>
      </c>
      <c r="BF63">
        <f t="shared" si="1"/>
        <v>85.416666666666657</v>
      </c>
      <c r="BG63" t="s">
        <v>757</v>
      </c>
    </row>
    <row r="64" spans="1:59" x14ac:dyDescent="0.3">
      <c r="A64" t="s">
        <v>100</v>
      </c>
      <c r="B64">
        <v>127991</v>
      </c>
      <c r="C64">
        <v>24337994</v>
      </c>
      <c r="D64" t="s">
        <v>101</v>
      </c>
      <c r="E64" t="s">
        <v>61</v>
      </c>
      <c r="F64" t="s">
        <v>77</v>
      </c>
      <c r="G64">
        <v>8</v>
      </c>
      <c r="H64">
        <v>9.75</v>
      </c>
      <c r="I64">
        <v>10</v>
      </c>
      <c r="J64" t="s">
        <v>63</v>
      </c>
      <c r="K64" t="s">
        <v>63</v>
      </c>
      <c r="L64" t="s">
        <v>63</v>
      </c>
      <c r="N64" t="s">
        <v>63</v>
      </c>
      <c r="O64" t="s">
        <v>63</v>
      </c>
      <c r="P64" t="s">
        <v>63</v>
      </c>
      <c r="Q64" t="s">
        <v>63</v>
      </c>
      <c r="S64" t="s">
        <v>63</v>
      </c>
      <c r="T64" t="s">
        <v>63</v>
      </c>
      <c r="U64" t="s">
        <v>63</v>
      </c>
      <c r="V64" t="s">
        <v>63</v>
      </c>
      <c r="X64" t="s">
        <v>63</v>
      </c>
      <c r="Y64" t="s">
        <v>63</v>
      </c>
      <c r="Z64" t="s">
        <v>63</v>
      </c>
      <c r="AA64" t="s">
        <v>63</v>
      </c>
      <c r="AC64" t="s">
        <v>63</v>
      </c>
      <c r="AD64" t="s">
        <v>63</v>
      </c>
      <c r="AE64">
        <v>142</v>
      </c>
      <c r="AF64">
        <v>10</v>
      </c>
      <c r="AG64">
        <v>92.5</v>
      </c>
      <c r="AH64">
        <v>92.5</v>
      </c>
      <c r="AI64">
        <v>92.5</v>
      </c>
      <c r="AJ64">
        <v>92.5</v>
      </c>
      <c r="AT64">
        <v>78.89</v>
      </c>
      <c r="AU64">
        <v>0</v>
      </c>
      <c r="AV64">
        <v>78.89</v>
      </c>
      <c r="AY64">
        <v>0</v>
      </c>
      <c r="AZ64">
        <v>0</v>
      </c>
      <c r="BA64">
        <v>92.5</v>
      </c>
      <c r="BB64">
        <v>83.43</v>
      </c>
      <c r="BC64">
        <v>27.75</v>
      </c>
      <c r="BD64">
        <v>75.08</v>
      </c>
      <c r="BE64">
        <f t="shared" si="0"/>
        <v>142</v>
      </c>
      <c r="BF64">
        <f t="shared" si="1"/>
        <v>85.083333333333343</v>
      </c>
      <c r="BG64" t="s">
        <v>757</v>
      </c>
    </row>
    <row r="65" spans="1:59" x14ac:dyDescent="0.3">
      <c r="A65" t="s">
        <v>146</v>
      </c>
      <c r="B65">
        <v>107884</v>
      </c>
      <c r="C65">
        <v>24086904</v>
      </c>
      <c r="D65" t="s">
        <v>147</v>
      </c>
      <c r="E65" t="s">
        <v>61</v>
      </c>
      <c r="F65" t="s">
        <v>72</v>
      </c>
      <c r="G65">
        <v>10</v>
      </c>
      <c r="H65">
        <v>10</v>
      </c>
      <c r="I65">
        <v>9.75</v>
      </c>
      <c r="J65" t="s">
        <v>63</v>
      </c>
      <c r="K65" t="s">
        <v>63</v>
      </c>
      <c r="M65" t="s">
        <v>63</v>
      </c>
      <c r="N65" t="s">
        <v>63</v>
      </c>
      <c r="O65" t="s">
        <v>63</v>
      </c>
      <c r="P65" t="s">
        <v>63</v>
      </c>
      <c r="R65" t="s">
        <v>63</v>
      </c>
      <c r="S65" t="s">
        <v>63</v>
      </c>
      <c r="T65" t="s">
        <v>63</v>
      </c>
      <c r="U65" t="s">
        <v>63</v>
      </c>
      <c r="W65" t="s">
        <v>63</v>
      </c>
      <c r="X65" t="s">
        <v>63</v>
      </c>
      <c r="Y65" t="s">
        <v>63</v>
      </c>
      <c r="Z65" t="s">
        <v>63</v>
      </c>
      <c r="AB65" t="s">
        <v>63</v>
      </c>
      <c r="AC65" t="s">
        <v>63</v>
      </c>
      <c r="AD65" t="s">
        <v>63</v>
      </c>
      <c r="AE65">
        <v>136</v>
      </c>
      <c r="AF65">
        <v>10</v>
      </c>
      <c r="AG65">
        <v>99.17</v>
      </c>
      <c r="AH65">
        <v>99.17</v>
      </c>
      <c r="AI65">
        <v>99.17</v>
      </c>
      <c r="AJ65">
        <v>99.17</v>
      </c>
      <c r="AT65">
        <v>75.56</v>
      </c>
      <c r="AU65">
        <v>0</v>
      </c>
      <c r="AV65">
        <v>75.56</v>
      </c>
      <c r="AY65">
        <v>0</v>
      </c>
      <c r="AZ65">
        <v>0</v>
      </c>
      <c r="BA65">
        <v>99.17</v>
      </c>
      <c r="BB65">
        <v>83.43</v>
      </c>
      <c r="BC65">
        <v>29.75</v>
      </c>
      <c r="BD65">
        <v>75.08</v>
      </c>
      <c r="BE65">
        <f t="shared" si="0"/>
        <v>136</v>
      </c>
      <c r="BF65">
        <f t="shared" si="1"/>
        <v>85.083333333333343</v>
      </c>
      <c r="BG65" t="s">
        <v>757</v>
      </c>
    </row>
    <row r="66" spans="1:59" x14ac:dyDescent="0.3">
      <c r="A66" t="s">
        <v>244</v>
      </c>
      <c r="B66">
        <v>129987</v>
      </c>
      <c r="C66">
        <v>24360332</v>
      </c>
      <c r="D66" t="s">
        <v>245</v>
      </c>
      <c r="E66" t="s">
        <v>61</v>
      </c>
      <c r="F66" t="s">
        <v>66</v>
      </c>
      <c r="G66">
        <v>10</v>
      </c>
      <c r="H66">
        <v>10</v>
      </c>
      <c r="I66">
        <v>10</v>
      </c>
      <c r="K66" t="s">
        <v>63</v>
      </c>
      <c r="L66" t="s">
        <v>63</v>
      </c>
      <c r="M66" t="s">
        <v>63</v>
      </c>
      <c r="N66" t="s">
        <v>63</v>
      </c>
      <c r="P66" t="s">
        <v>63</v>
      </c>
      <c r="Q66" t="s">
        <v>63</v>
      </c>
      <c r="R66" t="s">
        <v>63</v>
      </c>
      <c r="S66" t="s">
        <v>63</v>
      </c>
      <c r="U66" t="s">
        <v>63</v>
      </c>
      <c r="V66" t="s">
        <v>63</v>
      </c>
      <c r="W66" t="s">
        <v>63</v>
      </c>
      <c r="X66" t="s">
        <v>63</v>
      </c>
      <c r="Z66" t="s">
        <v>63</v>
      </c>
      <c r="AA66" t="s">
        <v>63</v>
      </c>
      <c r="AB66" t="s">
        <v>63</v>
      </c>
      <c r="AC66" t="s">
        <v>63</v>
      </c>
      <c r="AD66" t="s">
        <v>63</v>
      </c>
      <c r="AE66">
        <v>135</v>
      </c>
      <c r="AF66">
        <v>10</v>
      </c>
      <c r="AG66">
        <v>100</v>
      </c>
      <c r="AH66">
        <v>100</v>
      </c>
      <c r="AI66">
        <v>100</v>
      </c>
      <c r="AJ66">
        <v>100</v>
      </c>
      <c r="AT66">
        <v>75</v>
      </c>
      <c r="AU66">
        <v>0</v>
      </c>
      <c r="AV66">
        <v>75</v>
      </c>
      <c r="AY66">
        <v>0</v>
      </c>
      <c r="AZ66">
        <v>0</v>
      </c>
      <c r="BA66">
        <v>100</v>
      </c>
      <c r="BB66">
        <v>83.33</v>
      </c>
      <c r="BC66">
        <v>30</v>
      </c>
      <c r="BD66">
        <v>75</v>
      </c>
      <c r="BE66">
        <f t="shared" si="0"/>
        <v>135</v>
      </c>
      <c r="BF66">
        <f t="shared" si="1"/>
        <v>85</v>
      </c>
      <c r="BG66" t="s">
        <v>757</v>
      </c>
    </row>
    <row r="67" spans="1:59" x14ac:dyDescent="0.3">
      <c r="A67" t="s">
        <v>516</v>
      </c>
      <c r="B67">
        <v>129461</v>
      </c>
      <c r="C67">
        <v>24357595</v>
      </c>
      <c r="D67" t="s">
        <v>517</v>
      </c>
      <c r="E67" t="s">
        <v>61</v>
      </c>
      <c r="F67" t="s">
        <v>69</v>
      </c>
      <c r="G67">
        <v>9</v>
      </c>
      <c r="H67">
        <v>9.75</v>
      </c>
      <c r="I67">
        <v>9</v>
      </c>
      <c r="J67" t="s">
        <v>63</v>
      </c>
      <c r="L67" t="s">
        <v>63</v>
      </c>
      <c r="M67" t="s">
        <v>63</v>
      </c>
      <c r="N67" t="s">
        <v>63</v>
      </c>
      <c r="O67" t="s">
        <v>63</v>
      </c>
      <c r="Q67" t="s">
        <v>63</v>
      </c>
      <c r="R67" t="s">
        <v>63</v>
      </c>
      <c r="S67" t="s">
        <v>63</v>
      </c>
      <c r="T67" t="s">
        <v>63</v>
      </c>
      <c r="V67" t="s">
        <v>63</v>
      </c>
      <c r="W67" t="s">
        <v>63</v>
      </c>
      <c r="X67" t="s">
        <v>63</v>
      </c>
      <c r="Y67" t="s">
        <v>63</v>
      </c>
      <c r="AA67" t="s">
        <v>63</v>
      </c>
      <c r="AB67" t="s">
        <v>63</v>
      </c>
      <c r="AC67" t="s">
        <v>63</v>
      </c>
      <c r="AD67" t="s">
        <v>63</v>
      </c>
      <c r="AE67">
        <v>141.5</v>
      </c>
      <c r="AF67">
        <v>10</v>
      </c>
      <c r="AG67">
        <v>92.5</v>
      </c>
      <c r="AH67">
        <v>92.5</v>
      </c>
      <c r="AI67">
        <v>92.5</v>
      </c>
      <c r="AJ67">
        <v>92.5</v>
      </c>
      <c r="AT67">
        <v>78.61</v>
      </c>
      <c r="AU67">
        <v>0</v>
      </c>
      <c r="AV67">
        <v>78.61</v>
      </c>
      <c r="AY67">
        <v>0</v>
      </c>
      <c r="AZ67">
        <v>0</v>
      </c>
      <c r="BA67">
        <v>92.5</v>
      </c>
      <c r="BB67">
        <v>83.24</v>
      </c>
      <c r="BC67">
        <v>27.75</v>
      </c>
      <c r="BD67">
        <v>74.92</v>
      </c>
      <c r="BE67">
        <f t="shared" si="0"/>
        <v>141.5</v>
      </c>
      <c r="BF67">
        <f t="shared" si="1"/>
        <v>84.916666666666657</v>
      </c>
      <c r="BG67" t="s">
        <v>757</v>
      </c>
    </row>
    <row r="68" spans="1:59" x14ac:dyDescent="0.3">
      <c r="A68" t="s">
        <v>164</v>
      </c>
      <c r="B68">
        <v>129138</v>
      </c>
      <c r="C68">
        <v>24353209</v>
      </c>
      <c r="D68" t="s">
        <v>165</v>
      </c>
      <c r="E68" t="s">
        <v>61</v>
      </c>
      <c r="F68" t="s">
        <v>66</v>
      </c>
      <c r="G68">
        <v>10</v>
      </c>
      <c r="H68">
        <v>10</v>
      </c>
      <c r="I68">
        <v>10</v>
      </c>
      <c r="K68" t="s">
        <v>63</v>
      </c>
      <c r="L68" t="s">
        <v>63</v>
      </c>
      <c r="M68" t="s">
        <v>63</v>
      </c>
      <c r="N68" t="s">
        <v>63</v>
      </c>
      <c r="P68" t="s">
        <v>63</v>
      </c>
      <c r="Q68" t="s">
        <v>63</v>
      </c>
      <c r="R68" t="s">
        <v>63</v>
      </c>
      <c r="S68" t="s">
        <v>63</v>
      </c>
      <c r="U68" t="s">
        <v>63</v>
      </c>
      <c r="V68" t="s">
        <v>63</v>
      </c>
      <c r="W68" t="s">
        <v>63</v>
      </c>
      <c r="X68" t="s">
        <v>63</v>
      </c>
      <c r="Z68" t="s">
        <v>63</v>
      </c>
      <c r="AA68" t="s">
        <v>63</v>
      </c>
      <c r="AB68" t="s">
        <v>63</v>
      </c>
      <c r="AC68" t="s">
        <v>63</v>
      </c>
      <c r="AD68" t="s">
        <v>63</v>
      </c>
      <c r="AE68">
        <v>134.5</v>
      </c>
      <c r="AF68">
        <v>10</v>
      </c>
      <c r="AG68">
        <v>100</v>
      </c>
      <c r="AH68">
        <v>100</v>
      </c>
      <c r="AI68">
        <v>100</v>
      </c>
      <c r="AJ68">
        <v>100</v>
      </c>
      <c r="AT68">
        <v>74.72</v>
      </c>
      <c r="AU68">
        <v>0</v>
      </c>
      <c r="AV68">
        <v>74.72</v>
      </c>
      <c r="AY68">
        <v>0</v>
      </c>
      <c r="AZ68">
        <v>0</v>
      </c>
      <c r="BA68">
        <v>100</v>
      </c>
      <c r="BB68">
        <v>83.15</v>
      </c>
      <c r="BC68">
        <v>30</v>
      </c>
      <c r="BD68">
        <v>74.83</v>
      </c>
      <c r="BE68">
        <v>141.5</v>
      </c>
      <c r="BF68">
        <f t="shared" ref="BF68:BF131" si="3">G68+H68+I68+AF68+(BE68/3)</f>
        <v>87.166666666666657</v>
      </c>
      <c r="BG68" t="s">
        <v>757</v>
      </c>
    </row>
    <row r="69" spans="1:59" x14ac:dyDescent="0.3">
      <c r="A69" t="s">
        <v>482</v>
      </c>
      <c r="B69">
        <v>123196</v>
      </c>
      <c r="C69">
        <v>24274822</v>
      </c>
      <c r="D69" t="s">
        <v>483</v>
      </c>
      <c r="E69" t="s">
        <v>61</v>
      </c>
      <c r="F69" t="s">
        <v>72</v>
      </c>
      <c r="G69">
        <v>5.75</v>
      </c>
      <c r="H69">
        <v>9</v>
      </c>
      <c r="I69">
        <v>10</v>
      </c>
      <c r="J69" t="s">
        <v>63</v>
      </c>
      <c r="K69" t="s">
        <v>63</v>
      </c>
      <c r="M69" t="s">
        <v>63</v>
      </c>
      <c r="N69" t="s">
        <v>63</v>
      </c>
      <c r="O69" t="s">
        <v>63</v>
      </c>
      <c r="P69" t="s">
        <v>63</v>
      </c>
      <c r="R69" t="s">
        <v>63</v>
      </c>
      <c r="S69" t="s">
        <v>63</v>
      </c>
      <c r="T69" t="s">
        <v>63</v>
      </c>
      <c r="U69" t="s">
        <v>63</v>
      </c>
      <c r="W69" t="s">
        <v>63</v>
      </c>
      <c r="X69" t="s">
        <v>63</v>
      </c>
      <c r="Y69" t="s">
        <v>63</v>
      </c>
      <c r="Z69" t="s">
        <v>63</v>
      </c>
      <c r="AB69" t="s">
        <v>63</v>
      </c>
      <c r="AC69" t="s">
        <v>63</v>
      </c>
      <c r="AD69" t="s">
        <v>63</v>
      </c>
      <c r="AE69">
        <v>150</v>
      </c>
      <c r="AF69">
        <v>10</v>
      </c>
      <c r="AG69">
        <v>82.5</v>
      </c>
      <c r="AH69">
        <v>82.5</v>
      </c>
      <c r="AI69">
        <v>82.5</v>
      </c>
      <c r="AJ69">
        <v>82.5</v>
      </c>
      <c r="AT69">
        <v>83.33</v>
      </c>
      <c r="AU69">
        <v>0</v>
      </c>
      <c r="AV69">
        <v>83.33</v>
      </c>
      <c r="AY69">
        <v>0</v>
      </c>
      <c r="AZ69">
        <v>0</v>
      </c>
      <c r="BA69">
        <v>82.5</v>
      </c>
      <c r="BB69">
        <v>83.06</v>
      </c>
      <c r="BC69">
        <v>24.75</v>
      </c>
      <c r="BD69">
        <v>74.75</v>
      </c>
      <c r="BE69">
        <f t="shared" ref="BE69:BE131" si="4">IF(AE69&gt;0,AE69,AD69)</f>
        <v>150</v>
      </c>
      <c r="BF69">
        <f t="shared" si="3"/>
        <v>84.75</v>
      </c>
      <c r="BG69" t="s">
        <v>757</v>
      </c>
    </row>
    <row r="70" spans="1:59" x14ac:dyDescent="0.3">
      <c r="A70" t="s">
        <v>202</v>
      </c>
      <c r="B70">
        <v>128786</v>
      </c>
      <c r="C70">
        <v>24349962</v>
      </c>
      <c r="D70" t="s">
        <v>203</v>
      </c>
      <c r="E70" t="s">
        <v>61</v>
      </c>
      <c r="F70" t="s">
        <v>62</v>
      </c>
      <c r="G70">
        <v>9</v>
      </c>
      <c r="H70">
        <v>10</v>
      </c>
      <c r="I70">
        <v>9.5</v>
      </c>
      <c r="J70" t="s">
        <v>63</v>
      </c>
      <c r="K70" t="s">
        <v>63</v>
      </c>
      <c r="L70" t="s">
        <v>63</v>
      </c>
      <c r="M70" t="s">
        <v>63</v>
      </c>
      <c r="O70" t="s">
        <v>63</v>
      </c>
      <c r="P70" t="s">
        <v>63</v>
      </c>
      <c r="Q70" t="s">
        <v>63</v>
      </c>
      <c r="R70" t="s">
        <v>63</v>
      </c>
      <c r="T70" t="s">
        <v>63</v>
      </c>
      <c r="U70" t="s">
        <v>63</v>
      </c>
      <c r="V70" t="s">
        <v>63</v>
      </c>
      <c r="W70" t="s">
        <v>63</v>
      </c>
      <c r="Y70" t="s">
        <v>63</v>
      </c>
      <c r="Z70" t="s">
        <v>63</v>
      </c>
      <c r="AA70" t="s">
        <v>63</v>
      </c>
      <c r="AB70" t="s">
        <v>63</v>
      </c>
      <c r="AD70" t="s">
        <v>63</v>
      </c>
      <c r="AE70">
        <v>138.5</v>
      </c>
      <c r="AF70">
        <v>10</v>
      </c>
      <c r="AG70">
        <v>95</v>
      </c>
      <c r="AH70">
        <v>95</v>
      </c>
      <c r="AI70">
        <v>95</v>
      </c>
      <c r="AJ70">
        <v>95</v>
      </c>
      <c r="AT70">
        <v>76.94</v>
      </c>
      <c r="AU70">
        <v>0</v>
      </c>
      <c r="AV70">
        <v>76.94</v>
      </c>
      <c r="AY70">
        <v>0</v>
      </c>
      <c r="AZ70">
        <v>0</v>
      </c>
      <c r="BA70">
        <v>95</v>
      </c>
      <c r="BB70">
        <v>82.96</v>
      </c>
      <c r="BC70">
        <v>28.5</v>
      </c>
      <c r="BD70">
        <v>74.67</v>
      </c>
      <c r="BE70">
        <f t="shared" si="4"/>
        <v>138.5</v>
      </c>
      <c r="BF70">
        <f t="shared" si="3"/>
        <v>84.666666666666657</v>
      </c>
      <c r="BG70" t="s">
        <v>757</v>
      </c>
    </row>
    <row r="71" spans="1:59" x14ac:dyDescent="0.3">
      <c r="A71" t="s">
        <v>412</v>
      </c>
      <c r="B71">
        <v>129985</v>
      </c>
      <c r="C71">
        <v>24361284</v>
      </c>
      <c r="D71" t="s">
        <v>413</v>
      </c>
      <c r="E71" t="s">
        <v>61</v>
      </c>
      <c r="F71" t="s">
        <v>72</v>
      </c>
      <c r="G71">
        <v>10</v>
      </c>
      <c r="H71">
        <v>10</v>
      </c>
      <c r="I71">
        <v>10</v>
      </c>
      <c r="J71" t="s">
        <v>63</v>
      </c>
      <c r="K71" t="s">
        <v>63</v>
      </c>
      <c r="M71" t="s">
        <v>63</v>
      </c>
      <c r="N71" t="s">
        <v>63</v>
      </c>
      <c r="O71" t="s">
        <v>63</v>
      </c>
      <c r="P71" t="s">
        <v>63</v>
      </c>
      <c r="R71" t="s">
        <v>63</v>
      </c>
      <c r="S71" t="s">
        <v>63</v>
      </c>
      <c r="T71" t="s">
        <v>63</v>
      </c>
      <c r="U71" t="s">
        <v>63</v>
      </c>
      <c r="W71" t="s">
        <v>63</v>
      </c>
      <c r="X71" t="s">
        <v>63</v>
      </c>
      <c r="Y71" t="s">
        <v>63</v>
      </c>
      <c r="Z71" t="s">
        <v>63</v>
      </c>
      <c r="AB71" t="s">
        <v>63</v>
      </c>
      <c r="AC71" t="s">
        <v>63</v>
      </c>
      <c r="AD71" t="s">
        <v>63</v>
      </c>
      <c r="AE71">
        <v>134</v>
      </c>
      <c r="AF71">
        <v>10</v>
      </c>
      <c r="AG71">
        <v>100</v>
      </c>
      <c r="AH71">
        <v>100</v>
      </c>
      <c r="AI71">
        <v>100</v>
      </c>
      <c r="AJ71">
        <v>100</v>
      </c>
      <c r="AT71">
        <v>74.44</v>
      </c>
      <c r="AU71">
        <v>0</v>
      </c>
      <c r="AV71">
        <v>74.44</v>
      </c>
      <c r="AY71">
        <v>0</v>
      </c>
      <c r="AZ71">
        <v>0</v>
      </c>
      <c r="BA71">
        <v>100</v>
      </c>
      <c r="BB71">
        <v>82.96</v>
      </c>
      <c r="BC71">
        <v>30</v>
      </c>
      <c r="BD71">
        <v>74.67</v>
      </c>
      <c r="BE71">
        <f t="shared" si="4"/>
        <v>134</v>
      </c>
      <c r="BF71">
        <f t="shared" si="3"/>
        <v>84.666666666666657</v>
      </c>
      <c r="BG71" t="s">
        <v>757</v>
      </c>
    </row>
    <row r="72" spans="1:59" x14ac:dyDescent="0.3">
      <c r="A72" t="s">
        <v>490</v>
      </c>
      <c r="B72">
        <v>122842</v>
      </c>
      <c r="C72">
        <v>24275434</v>
      </c>
      <c r="D72" t="s">
        <v>491</v>
      </c>
      <c r="E72" t="s">
        <v>61</v>
      </c>
      <c r="F72" t="s">
        <v>77</v>
      </c>
      <c r="G72">
        <v>7.5</v>
      </c>
      <c r="H72">
        <v>10</v>
      </c>
      <c r="I72">
        <v>10</v>
      </c>
      <c r="J72" t="s">
        <v>63</v>
      </c>
      <c r="K72" t="s">
        <v>63</v>
      </c>
      <c r="L72" t="s">
        <v>63</v>
      </c>
      <c r="N72" t="s">
        <v>63</v>
      </c>
      <c r="O72" t="s">
        <v>63</v>
      </c>
      <c r="P72" t="s">
        <v>63</v>
      </c>
      <c r="Q72" t="s">
        <v>63</v>
      </c>
      <c r="S72" t="s">
        <v>63</v>
      </c>
      <c r="T72" t="s">
        <v>63</v>
      </c>
      <c r="U72" t="s">
        <v>63</v>
      </c>
      <c r="V72" t="s">
        <v>63</v>
      </c>
      <c r="X72" t="s">
        <v>63</v>
      </c>
      <c r="Y72" t="s">
        <v>63</v>
      </c>
      <c r="Z72" t="s">
        <v>63</v>
      </c>
      <c r="AA72" t="s">
        <v>63</v>
      </c>
      <c r="AC72" t="s">
        <v>63</v>
      </c>
      <c r="AD72" t="s">
        <v>63</v>
      </c>
      <c r="AE72">
        <v>141.5</v>
      </c>
      <c r="AF72">
        <v>10</v>
      </c>
      <c r="AG72">
        <v>91.67</v>
      </c>
      <c r="AH72">
        <v>91.67</v>
      </c>
      <c r="AI72">
        <v>91.67</v>
      </c>
      <c r="AJ72">
        <v>91.67</v>
      </c>
      <c r="AT72">
        <v>78.61</v>
      </c>
      <c r="AU72">
        <v>0</v>
      </c>
      <c r="AV72">
        <v>78.61</v>
      </c>
      <c r="AY72">
        <v>0</v>
      </c>
      <c r="AZ72">
        <v>0</v>
      </c>
      <c r="BA72">
        <v>91.67</v>
      </c>
      <c r="BB72">
        <v>82.96</v>
      </c>
      <c r="BC72">
        <v>27.5</v>
      </c>
      <c r="BD72">
        <v>74.67</v>
      </c>
      <c r="BE72">
        <f t="shared" si="4"/>
        <v>141.5</v>
      </c>
      <c r="BF72">
        <f t="shared" si="3"/>
        <v>84.666666666666657</v>
      </c>
      <c r="BG72" t="s">
        <v>757</v>
      </c>
    </row>
    <row r="73" spans="1:59" x14ac:dyDescent="0.3">
      <c r="A73" t="s">
        <v>632</v>
      </c>
      <c r="B73">
        <v>131616</v>
      </c>
      <c r="C73">
        <v>24364327</v>
      </c>
      <c r="D73" t="s">
        <v>633</v>
      </c>
      <c r="E73" t="s">
        <v>61</v>
      </c>
      <c r="F73" t="s">
        <v>69</v>
      </c>
      <c r="G73">
        <v>5.75</v>
      </c>
      <c r="H73">
        <v>10</v>
      </c>
      <c r="I73">
        <v>10</v>
      </c>
      <c r="J73" t="s">
        <v>63</v>
      </c>
      <c r="L73" t="s">
        <v>63</v>
      </c>
      <c r="M73" t="s">
        <v>63</v>
      </c>
      <c r="N73" t="s">
        <v>63</v>
      </c>
      <c r="O73" t="s">
        <v>63</v>
      </c>
      <c r="Q73" t="s">
        <v>63</v>
      </c>
      <c r="R73" t="s">
        <v>63</v>
      </c>
      <c r="S73" t="s">
        <v>63</v>
      </c>
      <c r="T73" t="s">
        <v>63</v>
      </c>
      <c r="V73" t="s">
        <v>63</v>
      </c>
      <c r="W73" t="s">
        <v>63</v>
      </c>
      <c r="X73" t="s">
        <v>63</v>
      </c>
      <c r="Y73" t="s">
        <v>63</v>
      </c>
      <c r="AA73" t="s">
        <v>63</v>
      </c>
      <c r="AB73" t="s">
        <v>63</v>
      </c>
      <c r="AC73" t="s">
        <v>63</v>
      </c>
      <c r="AD73" t="s">
        <v>63</v>
      </c>
      <c r="AE73">
        <v>146.5</v>
      </c>
      <c r="AF73">
        <v>10</v>
      </c>
      <c r="AG73">
        <v>85.83</v>
      </c>
      <c r="AH73">
        <v>85.83</v>
      </c>
      <c r="AI73">
        <v>85.83</v>
      </c>
      <c r="AJ73">
        <v>85.83</v>
      </c>
      <c r="AT73">
        <v>81.39</v>
      </c>
      <c r="AU73">
        <v>0</v>
      </c>
      <c r="AV73">
        <v>81.39</v>
      </c>
      <c r="AY73">
        <v>0</v>
      </c>
      <c r="AZ73">
        <v>0</v>
      </c>
      <c r="BA73">
        <v>85.83</v>
      </c>
      <c r="BB73">
        <v>82.87</v>
      </c>
      <c r="BC73">
        <v>25.75</v>
      </c>
      <c r="BD73">
        <v>74.58</v>
      </c>
      <c r="BE73">
        <f t="shared" si="4"/>
        <v>146.5</v>
      </c>
      <c r="BF73">
        <f t="shared" si="3"/>
        <v>84.583333333333343</v>
      </c>
      <c r="BG73" t="s">
        <v>757</v>
      </c>
    </row>
    <row r="74" spans="1:59" x14ac:dyDescent="0.3">
      <c r="A74" t="s">
        <v>198</v>
      </c>
      <c r="B74">
        <v>122946</v>
      </c>
      <c r="C74">
        <v>24275621</v>
      </c>
      <c r="D74" t="s">
        <v>199</v>
      </c>
      <c r="E74" t="s">
        <v>61</v>
      </c>
      <c r="F74" t="s">
        <v>66</v>
      </c>
      <c r="G74">
        <v>7.5</v>
      </c>
      <c r="H74">
        <v>10</v>
      </c>
      <c r="I74">
        <v>10</v>
      </c>
      <c r="K74" t="s">
        <v>63</v>
      </c>
      <c r="L74" t="s">
        <v>63</v>
      </c>
      <c r="M74" t="s">
        <v>63</v>
      </c>
      <c r="N74" t="s">
        <v>63</v>
      </c>
      <c r="P74" t="s">
        <v>63</v>
      </c>
      <c r="Q74" t="s">
        <v>63</v>
      </c>
      <c r="R74" t="s">
        <v>63</v>
      </c>
      <c r="S74" t="s">
        <v>63</v>
      </c>
      <c r="U74" t="s">
        <v>63</v>
      </c>
      <c r="V74" t="s">
        <v>63</v>
      </c>
      <c r="W74" t="s">
        <v>63</v>
      </c>
      <c r="X74" t="s">
        <v>63</v>
      </c>
      <c r="Z74" t="s">
        <v>63</v>
      </c>
      <c r="AA74" t="s">
        <v>63</v>
      </c>
      <c r="AB74" t="s">
        <v>63</v>
      </c>
      <c r="AC74" t="s">
        <v>63</v>
      </c>
      <c r="AD74" t="s">
        <v>63</v>
      </c>
      <c r="AE74">
        <v>141</v>
      </c>
      <c r="AF74">
        <v>10</v>
      </c>
      <c r="AG74">
        <v>91.67</v>
      </c>
      <c r="AH74">
        <v>91.67</v>
      </c>
      <c r="AI74">
        <v>91.67</v>
      </c>
      <c r="AJ74">
        <v>91.67</v>
      </c>
      <c r="AT74">
        <v>78.33</v>
      </c>
      <c r="AU74">
        <v>0</v>
      </c>
      <c r="AV74">
        <v>78.33</v>
      </c>
      <c r="AY74">
        <v>0</v>
      </c>
      <c r="AZ74">
        <v>0</v>
      </c>
      <c r="BA74">
        <v>91.67</v>
      </c>
      <c r="BB74">
        <v>82.78</v>
      </c>
      <c r="BC74">
        <v>27.5</v>
      </c>
      <c r="BD74">
        <v>74.5</v>
      </c>
      <c r="BE74">
        <f t="shared" si="4"/>
        <v>141</v>
      </c>
      <c r="BF74">
        <f t="shared" si="3"/>
        <v>84.5</v>
      </c>
      <c r="BG74" t="s">
        <v>757</v>
      </c>
    </row>
    <row r="75" spans="1:59" x14ac:dyDescent="0.3">
      <c r="A75" t="s">
        <v>302</v>
      </c>
      <c r="B75">
        <v>122899</v>
      </c>
      <c r="C75">
        <v>24275026</v>
      </c>
      <c r="D75" t="s">
        <v>303</v>
      </c>
      <c r="E75" t="s">
        <v>61</v>
      </c>
      <c r="F75" t="s">
        <v>62</v>
      </c>
      <c r="G75">
        <v>9</v>
      </c>
      <c r="H75">
        <v>10</v>
      </c>
      <c r="I75">
        <v>10</v>
      </c>
      <c r="J75" t="s">
        <v>63</v>
      </c>
      <c r="K75" t="s">
        <v>63</v>
      </c>
      <c r="L75" t="s">
        <v>63</v>
      </c>
      <c r="M75" t="s">
        <v>63</v>
      </c>
      <c r="O75" t="s">
        <v>63</v>
      </c>
      <c r="P75" t="s">
        <v>63</v>
      </c>
      <c r="Q75" t="s">
        <v>63</v>
      </c>
      <c r="R75" t="s">
        <v>63</v>
      </c>
      <c r="T75" t="s">
        <v>63</v>
      </c>
      <c r="U75" t="s">
        <v>63</v>
      </c>
      <c r="V75" t="s">
        <v>63</v>
      </c>
      <c r="W75" t="s">
        <v>63</v>
      </c>
      <c r="Y75" t="s">
        <v>63</v>
      </c>
      <c r="Z75" t="s">
        <v>63</v>
      </c>
      <c r="AA75" t="s">
        <v>63</v>
      </c>
      <c r="AB75" t="s">
        <v>63</v>
      </c>
      <c r="AD75" t="s">
        <v>63</v>
      </c>
      <c r="AE75">
        <v>136.5</v>
      </c>
      <c r="AF75">
        <v>10</v>
      </c>
      <c r="AG75">
        <v>96.67</v>
      </c>
      <c r="AH75">
        <v>96.67</v>
      </c>
      <c r="AI75">
        <v>96.67</v>
      </c>
      <c r="AJ75">
        <v>96.67</v>
      </c>
      <c r="AT75">
        <v>75.83</v>
      </c>
      <c r="AU75">
        <v>0</v>
      </c>
      <c r="AV75">
        <v>75.83</v>
      </c>
      <c r="AY75">
        <v>0</v>
      </c>
      <c r="AZ75">
        <v>0</v>
      </c>
      <c r="BA75">
        <v>96.67</v>
      </c>
      <c r="BB75">
        <v>82.78</v>
      </c>
      <c r="BC75">
        <v>29</v>
      </c>
      <c r="BD75">
        <v>74.5</v>
      </c>
      <c r="BE75">
        <f t="shared" si="4"/>
        <v>136.5</v>
      </c>
      <c r="BF75">
        <f t="shared" si="3"/>
        <v>84.5</v>
      </c>
      <c r="BG75" t="s">
        <v>757</v>
      </c>
    </row>
    <row r="76" spans="1:59" x14ac:dyDescent="0.3">
      <c r="A76" t="s">
        <v>408</v>
      </c>
      <c r="B76">
        <v>123779</v>
      </c>
      <c r="C76">
        <v>24281231</v>
      </c>
      <c r="D76" t="s">
        <v>409</v>
      </c>
      <c r="E76" t="s">
        <v>61</v>
      </c>
      <c r="F76" t="s">
        <v>72</v>
      </c>
      <c r="G76">
        <v>8.5</v>
      </c>
      <c r="H76">
        <v>9.5</v>
      </c>
      <c r="I76">
        <v>8.5</v>
      </c>
      <c r="J76" t="s">
        <v>63</v>
      </c>
      <c r="K76" t="s">
        <v>63</v>
      </c>
      <c r="M76" t="s">
        <v>63</v>
      </c>
      <c r="N76" t="s">
        <v>63</v>
      </c>
      <c r="O76" t="s">
        <v>63</v>
      </c>
      <c r="P76" t="s">
        <v>63</v>
      </c>
      <c r="R76" t="s">
        <v>63</v>
      </c>
      <c r="S76" t="s">
        <v>63</v>
      </c>
      <c r="T76" t="s">
        <v>63</v>
      </c>
      <c r="U76" t="s">
        <v>63</v>
      </c>
      <c r="W76" t="s">
        <v>63</v>
      </c>
      <c r="X76" t="s">
        <v>63</v>
      </c>
      <c r="Y76" t="s">
        <v>63</v>
      </c>
      <c r="Z76" t="s">
        <v>63</v>
      </c>
      <c r="AB76" t="s">
        <v>63</v>
      </c>
      <c r="AC76" t="s">
        <v>63</v>
      </c>
      <c r="AD76" t="s">
        <v>63</v>
      </c>
      <c r="AE76">
        <v>144</v>
      </c>
      <c r="AF76">
        <v>10</v>
      </c>
      <c r="AG76">
        <v>88.33</v>
      </c>
      <c r="AH76">
        <v>88.33</v>
      </c>
      <c r="AI76">
        <v>88.33</v>
      </c>
      <c r="AJ76">
        <v>88.33</v>
      </c>
      <c r="AT76">
        <v>80</v>
      </c>
      <c r="AU76">
        <v>0</v>
      </c>
      <c r="AV76">
        <v>80</v>
      </c>
      <c r="AY76">
        <v>0</v>
      </c>
      <c r="AZ76">
        <v>0</v>
      </c>
      <c r="BA76">
        <v>88.33</v>
      </c>
      <c r="BB76">
        <v>82.78</v>
      </c>
      <c r="BC76">
        <v>26.5</v>
      </c>
      <c r="BD76">
        <v>74.5</v>
      </c>
      <c r="BE76">
        <f t="shared" si="4"/>
        <v>144</v>
      </c>
      <c r="BF76">
        <f t="shared" si="3"/>
        <v>84.5</v>
      </c>
      <c r="BG76" t="s">
        <v>757</v>
      </c>
    </row>
    <row r="77" spans="1:59" x14ac:dyDescent="0.3">
      <c r="A77" t="s">
        <v>702</v>
      </c>
      <c r="B77">
        <v>126500</v>
      </c>
      <c r="C77">
        <v>24316931</v>
      </c>
      <c r="D77" t="s">
        <v>703</v>
      </c>
      <c r="E77" t="s">
        <v>61</v>
      </c>
      <c r="F77" t="s">
        <v>72</v>
      </c>
      <c r="G77">
        <v>9</v>
      </c>
      <c r="H77">
        <v>10</v>
      </c>
      <c r="I77">
        <v>9.5</v>
      </c>
      <c r="J77" t="s">
        <v>63</v>
      </c>
      <c r="K77" t="s">
        <v>63</v>
      </c>
      <c r="M77" t="s">
        <v>63</v>
      </c>
      <c r="N77" t="s">
        <v>63</v>
      </c>
      <c r="O77" t="s">
        <v>63</v>
      </c>
      <c r="P77" t="s">
        <v>63</v>
      </c>
      <c r="R77" t="s">
        <v>63</v>
      </c>
      <c r="S77" t="s">
        <v>63</v>
      </c>
      <c r="T77" t="s">
        <v>63</v>
      </c>
      <c r="U77" t="s">
        <v>63</v>
      </c>
      <c r="W77" t="s">
        <v>63</v>
      </c>
      <c r="X77" t="s">
        <v>63</v>
      </c>
      <c r="Y77" t="s">
        <v>63</v>
      </c>
      <c r="Z77" t="s">
        <v>63</v>
      </c>
      <c r="AB77" t="s">
        <v>63</v>
      </c>
      <c r="AC77" t="s">
        <v>63</v>
      </c>
      <c r="AD77" t="s">
        <v>63</v>
      </c>
      <c r="AE77">
        <v>138</v>
      </c>
      <c r="AF77">
        <v>10</v>
      </c>
      <c r="AG77">
        <v>95</v>
      </c>
      <c r="AH77">
        <v>95</v>
      </c>
      <c r="AI77">
        <v>95</v>
      </c>
      <c r="AJ77">
        <v>95</v>
      </c>
      <c r="AT77">
        <v>76.67</v>
      </c>
      <c r="AU77">
        <v>0</v>
      </c>
      <c r="AV77">
        <v>76.67</v>
      </c>
      <c r="AY77">
        <v>0</v>
      </c>
      <c r="AZ77">
        <v>0</v>
      </c>
      <c r="BA77">
        <v>95</v>
      </c>
      <c r="BB77">
        <v>82.78</v>
      </c>
      <c r="BC77">
        <v>28.5</v>
      </c>
      <c r="BD77">
        <v>74.5</v>
      </c>
      <c r="BE77">
        <f t="shared" si="4"/>
        <v>138</v>
      </c>
      <c r="BF77">
        <f t="shared" si="3"/>
        <v>84.5</v>
      </c>
      <c r="BG77" t="s">
        <v>757</v>
      </c>
    </row>
    <row r="78" spans="1:59" x14ac:dyDescent="0.3">
      <c r="A78" t="s">
        <v>308</v>
      </c>
      <c r="B78">
        <v>126153</v>
      </c>
      <c r="C78">
        <v>24312460</v>
      </c>
      <c r="D78" t="s">
        <v>309</v>
      </c>
      <c r="E78" t="s">
        <v>61</v>
      </c>
      <c r="F78" t="s">
        <v>66</v>
      </c>
      <c r="G78">
        <v>9.25</v>
      </c>
      <c r="H78">
        <v>10</v>
      </c>
      <c r="I78">
        <v>10</v>
      </c>
      <c r="K78" t="s">
        <v>63</v>
      </c>
      <c r="L78" t="s">
        <v>63</v>
      </c>
      <c r="M78" t="s">
        <v>63</v>
      </c>
      <c r="N78" t="s">
        <v>63</v>
      </c>
      <c r="P78" t="s">
        <v>63</v>
      </c>
      <c r="Q78" t="s">
        <v>63</v>
      </c>
      <c r="R78" t="s">
        <v>63</v>
      </c>
      <c r="S78" t="s">
        <v>63</v>
      </c>
      <c r="U78" t="s">
        <v>63</v>
      </c>
      <c r="V78" t="s">
        <v>63</v>
      </c>
      <c r="W78" t="s">
        <v>63</v>
      </c>
      <c r="X78" t="s">
        <v>63</v>
      </c>
      <c r="Z78" t="s">
        <v>63</v>
      </c>
      <c r="AA78" t="s">
        <v>63</v>
      </c>
      <c r="AB78" t="s">
        <v>63</v>
      </c>
      <c r="AC78" t="s">
        <v>63</v>
      </c>
      <c r="AD78" t="s">
        <v>63</v>
      </c>
      <c r="AE78">
        <v>135.5</v>
      </c>
      <c r="AF78">
        <v>10</v>
      </c>
      <c r="AG78">
        <v>97.5</v>
      </c>
      <c r="AH78">
        <v>97.5</v>
      </c>
      <c r="AI78">
        <v>97.5</v>
      </c>
      <c r="AJ78">
        <v>97.5</v>
      </c>
      <c r="AT78">
        <v>75.28</v>
      </c>
      <c r="AU78">
        <v>0</v>
      </c>
      <c r="AV78">
        <v>75.28</v>
      </c>
      <c r="AY78">
        <v>0</v>
      </c>
      <c r="AZ78">
        <v>0</v>
      </c>
      <c r="BA78">
        <v>97.5</v>
      </c>
      <c r="BB78">
        <v>82.69</v>
      </c>
      <c r="BC78">
        <v>29.25</v>
      </c>
      <c r="BD78">
        <v>74.42</v>
      </c>
      <c r="BE78">
        <f t="shared" si="4"/>
        <v>135.5</v>
      </c>
      <c r="BF78">
        <f t="shared" si="3"/>
        <v>84.416666666666657</v>
      </c>
      <c r="BG78" t="s">
        <v>757</v>
      </c>
    </row>
    <row r="79" spans="1:59" x14ac:dyDescent="0.3">
      <c r="A79" t="s">
        <v>642</v>
      </c>
      <c r="B79">
        <v>127817</v>
      </c>
      <c r="C79">
        <v>24336260</v>
      </c>
      <c r="D79" t="s">
        <v>643</v>
      </c>
      <c r="E79" t="s">
        <v>61</v>
      </c>
      <c r="F79" t="s">
        <v>69</v>
      </c>
      <c r="G79">
        <v>8.25</v>
      </c>
      <c r="H79">
        <v>10</v>
      </c>
      <c r="I79">
        <v>10</v>
      </c>
      <c r="J79" t="s">
        <v>63</v>
      </c>
      <c r="L79" t="s">
        <v>63</v>
      </c>
      <c r="M79" t="s">
        <v>63</v>
      </c>
      <c r="N79" t="s">
        <v>63</v>
      </c>
      <c r="O79" t="s">
        <v>63</v>
      </c>
      <c r="Q79" t="s">
        <v>63</v>
      </c>
      <c r="R79" t="s">
        <v>63</v>
      </c>
      <c r="S79" t="s">
        <v>63</v>
      </c>
      <c r="T79" t="s">
        <v>63</v>
      </c>
      <c r="V79" t="s">
        <v>63</v>
      </c>
      <c r="W79" t="s">
        <v>63</v>
      </c>
      <c r="X79" t="s">
        <v>63</v>
      </c>
      <c r="Y79" t="s">
        <v>63</v>
      </c>
      <c r="AA79" t="s">
        <v>63</v>
      </c>
      <c r="AB79" t="s">
        <v>63</v>
      </c>
      <c r="AC79" t="s">
        <v>63</v>
      </c>
      <c r="AD79" t="s">
        <v>63</v>
      </c>
      <c r="AE79">
        <v>138.5</v>
      </c>
      <c r="AF79">
        <v>10</v>
      </c>
      <c r="AG79">
        <v>94.17</v>
      </c>
      <c r="AH79">
        <v>94.17</v>
      </c>
      <c r="AI79">
        <v>94.17</v>
      </c>
      <c r="AJ79">
        <v>94.17</v>
      </c>
      <c r="AT79">
        <v>76.94</v>
      </c>
      <c r="AU79">
        <v>0</v>
      </c>
      <c r="AV79">
        <v>76.94</v>
      </c>
      <c r="AY79">
        <v>0</v>
      </c>
      <c r="AZ79">
        <v>0</v>
      </c>
      <c r="BA79">
        <v>94.17</v>
      </c>
      <c r="BB79">
        <v>82.69</v>
      </c>
      <c r="BC79">
        <v>28.25</v>
      </c>
      <c r="BD79">
        <v>74.42</v>
      </c>
      <c r="BE79">
        <f t="shared" si="4"/>
        <v>138.5</v>
      </c>
      <c r="BF79">
        <f t="shared" si="3"/>
        <v>84.416666666666657</v>
      </c>
      <c r="BG79" t="s">
        <v>757</v>
      </c>
    </row>
    <row r="80" spans="1:59" x14ac:dyDescent="0.3">
      <c r="A80" t="s">
        <v>484</v>
      </c>
      <c r="B80">
        <v>128099</v>
      </c>
      <c r="C80">
        <v>24340000</v>
      </c>
      <c r="D80" t="s">
        <v>485</v>
      </c>
      <c r="E80" t="s">
        <v>61</v>
      </c>
      <c r="F80" t="s">
        <v>69</v>
      </c>
      <c r="G80">
        <v>10</v>
      </c>
      <c r="H80">
        <v>10</v>
      </c>
      <c r="I80">
        <v>10</v>
      </c>
      <c r="J80" t="s">
        <v>63</v>
      </c>
      <c r="L80" t="s">
        <v>63</v>
      </c>
      <c r="M80" t="s">
        <v>63</v>
      </c>
      <c r="N80" t="s">
        <v>63</v>
      </c>
      <c r="O80" t="s">
        <v>63</v>
      </c>
      <c r="Q80" t="s">
        <v>63</v>
      </c>
      <c r="R80" t="s">
        <v>63</v>
      </c>
      <c r="S80" t="s">
        <v>63</v>
      </c>
      <c r="T80" t="s">
        <v>63</v>
      </c>
      <c r="V80" t="s">
        <v>63</v>
      </c>
      <c r="W80" t="s">
        <v>63</v>
      </c>
      <c r="X80" t="s">
        <v>63</v>
      </c>
      <c r="Y80" t="s">
        <v>63</v>
      </c>
      <c r="AA80" t="s">
        <v>63</v>
      </c>
      <c r="AB80" t="s">
        <v>63</v>
      </c>
      <c r="AC80" t="s">
        <v>63</v>
      </c>
      <c r="AD80" t="s">
        <v>63</v>
      </c>
      <c r="AE80">
        <v>133</v>
      </c>
      <c r="AF80">
        <v>10</v>
      </c>
      <c r="AG80">
        <v>100</v>
      </c>
      <c r="AH80">
        <v>100</v>
      </c>
      <c r="AI80">
        <v>100</v>
      </c>
      <c r="AJ80">
        <v>100</v>
      </c>
      <c r="AT80">
        <v>73.89</v>
      </c>
      <c r="AU80">
        <v>0</v>
      </c>
      <c r="AV80">
        <v>73.89</v>
      </c>
      <c r="AY80">
        <v>0</v>
      </c>
      <c r="AZ80">
        <v>0</v>
      </c>
      <c r="BA80">
        <v>100</v>
      </c>
      <c r="BB80">
        <v>82.59</v>
      </c>
      <c r="BC80">
        <v>30</v>
      </c>
      <c r="BD80">
        <v>74.33</v>
      </c>
      <c r="BE80">
        <f t="shared" si="4"/>
        <v>133</v>
      </c>
      <c r="BF80">
        <f t="shared" si="3"/>
        <v>84.333333333333343</v>
      </c>
      <c r="BG80" t="s">
        <v>757</v>
      </c>
    </row>
    <row r="81" spans="1:59" x14ac:dyDescent="0.3">
      <c r="A81" t="s">
        <v>514</v>
      </c>
      <c r="B81">
        <v>123028</v>
      </c>
      <c r="C81">
        <v>24275502</v>
      </c>
      <c r="D81" t="s">
        <v>515</v>
      </c>
      <c r="E81" t="s">
        <v>61</v>
      </c>
      <c r="F81" t="s">
        <v>69</v>
      </c>
      <c r="G81">
        <v>8</v>
      </c>
      <c r="H81">
        <v>10</v>
      </c>
      <c r="I81">
        <v>10</v>
      </c>
      <c r="J81" t="s">
        <v>63</v>
      </c>
      <c r="L81" t="s">
        <v>63</v>
      </c>
      <c r="M81" t="s">
        <v>63</v>
      </c>
      <c r="N81" t="s">
        <v>63</v>
      </c>
      <c r="O81" t="s">
        <v>63</v>
      </c>
      <c r="Q81" t="s">
        <v>63</v>
      </c>
      <c r="R81" t="s">
        <v>63</v>
      </c>
      <c r="S81" t="s">
        <v>63</v>
      </c>
      <c r="T81" t="s">
        <v>63</v>
      </c>
      <c r="V81" t="s">
        <v>63</v>
      </c>
      <c r="W81" t="s">
        <v>63</v>
      </c>
      <c r="X81" t="s">
        <v>63</v>
      </c>
      <c r="Y81" t="s">
        <v>63</v>
      </c>
      <c r="AA81" t="s">
        <v>63</v>
      </c>
      <c r="AB81" t="s">
        <v>63</v>
      </c>
      <c r="AC81" t="s">
        <v>63</v>
      </c>
      <c r="AD81" t="s">
        <v>63</v>
      </c>
      <c r="AE81">
        <v>139</v>
      </c>
      <c r="AF81">
        <v>10</v>
      </c>
      <c r="AG81">
        <v>93.33</v>
      </c>
      <c r="AH81">
        <v>93.33</v>
      </c>
      <c r="AI81">
        <v>93.33</v>
      </c>
      <c r="AJ81">
        <v>93.33</v>
      </c>
      <c r="AT81">
        <v>77.22</v>
      </c>
      <c r="AU81">
        <v>0</v>
      </c>
      <c r="AV81">
        <v>77.22</v>
      </c>
      <c r="AY81">
        <v>0</v>
      </c>
      <c r="AZ81">
        <v>0</v>
      </c>
      <c r="BA81">
        <v>93.33</v>
      </c>
      <c r="BB81">
        <v>82.59</v>
      </c>
      <c r="BC81">
        <v>28</v>
      </c>
      <c r="BD81">
        <v>74.33</v>
      </c>
      <c r="BE81">
        <f t="shared" si="4"/>
        <v>139</v>
      </c>
      <c r="BF81">
        <f t="shared" si="3"/>
        <v>84.333333333333343</v>
      </c>
      <c r="BG81" t="s">
        <v>757</v>
      </c>
    </row>
    <row r="82" spans="1:59" x14ac:dyDescent="0.3">
      <c r="A82" t="s">
        <v>586</v>
      </c>
      <c r="B82">
        <v>134278</v>
      </c>
      <c r="C82">
        <v>24387260</v>
      </c>
      <c r="D82" t="s">
        <v>587</v>
      </c>
      <c r="E82" t="s">
        <v>61</v>
      </c>
      <c r="F82" t="s">
        <v>69</v>
      </c>
      <c r="G82">
        <v>10</v>
      </c>
      <c r="H82">
        <v>10</v>
      </c>
      <c r="I82">
        <v>10</v>
      </c>
      <c r="J82" t="s">
        <v>63</v>
      </c>
      <c r="L82" t="s">
        <v>63</v>
      </c>
      <c r="M82" t="s">
        <v>63</v>
      </c>
      <c r="N82" t="s">
        <v>63</v>
      </c>
      <c r="O82" t="s">
        <v>63</v>
      </c>
      <c r="Q82" t="s">
        <v>63</v>
      </c>
      <c r="R82" t="s">
        <v>63</v>
      </c>
      <c r="S82" t="s">
        <v>63</v>
      </c>
      <c r="T82" t="s">
        <v>63</v>
      </c>
      <c r="V82" t="s">
        <v>63</v>
      </c>
      <c r="W82" t="s">
        <v>63</v>
      </c>
      <c r="X82" t="s">
        <v>63</v>
      </c>
      <c r="Y82" t="s">
        <v>63</v>
      </c>
      <c r="AA82" t="s">
        <v>63</v>
      </c>
      <c r="AB82" t="s">
        <v>63</v>
      </c>
      <c r="AC82" t="s">
        <v>63</v>
      </c>
      <c r="AD82" t="s">
        <v>63</v>
      </c>
      <c r="AE82">
        <v>133</v>
      </c>
      <c r="AF82">
        <v>10</v>
      </c>
      <c r="AG82">
        <v>100</v>
      </c>
      <c r="AH82">
        <v>100</v>
      </c>
      <c r="AI82">
        <v>100</v>
      </c>
      <c r="AJ82">
        <v>100</v>
      </c>
      <c r="AT82">
        <v>73.89</v>
      </c>
      <c r="AU82">
        <v>0</v>
      </c>
      <c r="AV82">
        <v>73.89</v>
      </c>
      <c r="AY82">
        <v>0</v>
      </c>
      <c r="AZ82">
        <v>0</v>
      </c>
      <c r="BA82">
        <v>100</v>
      </c>
      <c r="BB82">
        <v>82.59</v>
      </c>
      <c r="BC82">
        <v>30</v>
      </c>
      <c r="BD82">
        <v>74.33</v>
      </c>
      <c r="BE82">
        <f t="shared" si="4"/>
        <v>133</v>
      </c>
      <c r="BF82">
        <f t="shared" si="3"/>
        <v>84.333333333333343</v>
      </c>
      <c r="BG82" t="s">
        <v>757</v>
      </c>
    </row>
    <row r="83" spans="1:59" x14ac:dyDescent="0.3">
      <c r="A83" t="s">
        <v>604</v>
      </c>
      <c r="B83">
        <v>127163</v>
      </c>
      <c r="C83">
        <v>24327080</v>
      </c>
      <c r="D83" t="s">
        <v>605</v>
      </c>
      <c r="E83" t="s">
        <v>61</v>
      </c>
      <c r="F83" t="s">
        <v>62</v>
      </c>
      <c r="G83">
        <v>8</v>
      </c>
      <c r="H83">
        <v>9</v>
      </c>
      <c r="I83">
        <v>9</v>
      </c>
      <c r="J83" t="s">
        <v>63</v>
      </c>
      <c r="K83" t="s">
        <v>63</v>
      </c>
      <c r="L83" t="s">
        <v>63</v>
      </c>
      <c r="M83" t="s">
        <v>63</v>
      </c>
      <c r="O83" t="s">
        <v>63</v>
      </c>
      <c r="P83" t="s">
        <v>63</v>
      </c>
      <c r="Q83" t="s">
        <v>63</v>
      </c>
      <c r="R83" t="s">
        <v>63</v>
      </c>
      <c r="T83" t="s">
        <v>63</v>
      </c>
      <c r="U83" t="s">
        <v>63</v>
      </c>
      <c r="V83" t="s">
        <v>63</v>
      </c>
      <c r="W83" t="s">
        <v>63</v>
      </c>
      <c r="Y83" t="s">
        <v>63</v>
      </c>
      <c r="Z83" t="s">
        <v>63</v>
      </c>
      <c r="AA83" t="s">
        <v>63</v>
      </c>
      <c r="AB83" t="s">
        <v>63</v>
      </c>
      <c r="AD83" t="s">
        <v>63</v>
      </c>
      <c r="AE83">
        <v>145</v>
      </c>
      <c r="AF83">
        <v>10</v>
      </c>
      <c r="AG83">
        <v>86.67</v>
      </c>
      <c r="AH83">
        <v>86.67</v>
      </c>
      <c r="AI83">
        <v>86.67</v>
      </c>
      <c r="AJ83">
        <v>86.67</v>
      </c>
      <c r="AT83">
        <v>80.56</v>
      </c>
      <c r="AU83">
        <v>0</v>
      </c>
      <c r="AV83">
        <v>80.56</v>
      </c>
      <c r="AY83">
        <v>0</v>
      </c>
      <c r="AZ83">
        <v>0</v>
      </c>
      <c r="BA83">
        <v>86.67</v>
      </c>
      <c r="BB83">
        <v>82.59</v>
      </c>
      <c r="BC83">
        <v>26</v>
      </c>
      <c r="BD83">
        <v>74.33</v>
      </c>
      <c r="BE83">
        <f t="shared" si="4"/>
        <v>145</v>
      </c>
      <c r="BF83">
        <f t="shared" si="3"/>
        <v>84.333333333333343</v>
      </c>
      <c r="BG83" t="s">
        <v>757</v>
      </c>
    </row>
    <row r="84" spans="1:59" x14ac:dyDescent="0.3">
      <c r="A84" t="s">
        <v>738</v>
      </c>
      <c r="B84">
        <v>128011</v>
      </c>
      <c r="C84">
        <v>24337586</v>
      </c>
      <c r="D84" t="s">
        <v>739</v>
      </c>
      <c r="E84" t="s">
        <v>61</v>
      </c>
      <c r="F84" t="s">
        <v>69</v>
      </c>
      <c r="G84">
        <v>10</v>
      </c>
      <c r="H84">
        <v>10</v>
      </c>
      <c r="I84">
        <v>10</v>
      </c>
      <c r="J84" t="s">
        <v>63</v>
      </c>
      <c r="L84" t="s">
        <v>63</v>
      </c>
      <c r="M84" t="s">
        <v>63</v>
      </c>
      <c r="N84" t="s">
        <v>63</v>
      </c>
      <c r="O84" t="s">
        <v>63</v>
      </c>
      <c r="Q84" t="s">
        <v>63</v>
      </c>
      <c r="R84" t="s">
        <v>63</v>
      </c>
      <c r="S84" t="s">
        <v>63</v>
      </c>
      <c r="T84" t="s">
        <v>63</v>
      </c>
      <c r="V84" t="s">
        <v>63</v>
      </c>
      <c r="W84" t="s">
        <v>63</v>
      </c>
      <c r="X84" t="s">
        <v>63</v>
      </c>
      <c r="Y84" t="s">
        <v>63</v>
      </c>
      <c r="AA84" t="s">
        <v>63</v>
      </c>
      <c r="AB84" t="s">
        <v>63</v>
      </c>
      <c r="AC84" t="s">
        <v>63</v>
      </c>
      <c r="AD84" t="s">
        <v>63</v>
      </c>
      <c r="AE84">
        <v>132.5</v>
      </c>
      <c r="AF84">
        <v>10</v>
      </c>
      <c r="AG84">
        <v>100</v>
      </c>
      <c r="AH84">
        <v>100</v>
      </c>
      <c r="AI84">
        <v>100</v>
      </c>
      <c r="AJ84">
        <v>100</v>
      </c>
      <c r="AT84">
        <v>73.61</v>
      </c>
      <c r="AU84">
        <v>0</v>
      </c>
      <c r="AV84">
        <v>73.61</v>
      </c>
      <c r="AY84">
        <v>0</v>
      </c>
      <c r="AZ84">
        <v>0</v>
      </c>
      <c r="BA84">
        <v>100</v>
      </c>
      <c r="BB84">
        <v>82.41</v>
      </c>
      <c r="BC84">
        <v>30</v>
      </c>
      <c r="BD84">
        <v>74.17</v>
      </c>
      <c r="BE84">
        <f t="shared" si="4"/>
        <v>132.5</v>
      </c>
      <c r="BF84">
        <f t="shared" si="3"/>
        <v>84.166666666666657</v>
      </c>
      <c r="BG84" t="s">
        <v>757</v>
      </c>
    </row>
    <row r="85" spans="1:59" x14ac:dyDescent="0.3">
      <c r="A85" t="s">
        <v>176</v>
      </c>
      <c r="B85">
        <v>126227</v>
      </c>
      <c r="C85">
        <v>24312647</v>
      </c>
      <c r="D85" t="s">
        <v>177</v>
      </c>
      <c r="E85" t="s">
        <v>61</v>
      </c>
      <c r="F85" t="s">
        <v>72</v>
      </c>
      <c r="G85">
        <v>10</v>
      </c>
      <c r="H85">
        <v>10</v>
      </c>
      <c r="I85">
        <v>9.5</v>
      </c>
      <c r="J85" t="s">
        <v>63</v>
      </c>
      <c r="K85" t="s">
        <v>63</v>
      </c>
      <c r="M85" t="s">
        <v>63</v>
      </c>
      <c r="N85" t="s">
        <v>63</v>
      </c>
      <c r="O85" t="s">
        <v>63</v>
      </c>
      <c r="P85" t="s">
        <v>63</v>
      </c>
      <c r="R85" t="s">
        <v>63</v>
      </c>
      <c r="S85" t="s">
        <v>63</v>
      </c>
      <c r="T85" t="s">
        <v>63</v>
      </c>
      <c r="U85" t="s">
        <v>63</v>
      </c>
      <c r="W85" t="s">
        <v>63</v>
      </c>
      <c r="X85" t="s">
        <v>63</v>
      </c>
      <c r="Y85" t="s">
        <v>63</v>
      </c>
      <c r="Z85" t="s">
        <v>63</v>
      </c>
      <c r="AB85" t="s">
        <v>63</v>
      </c>
      <c r="AC85" t="s">
        <v>63</v>
      </c>
      <c r="AD85" t="s">
        <v>63</v>
      </c>
      <c r="AE85">
        <v>133.5</v>
      </c>
      <c r="AF85">
        <v>10</v>
      </c>
      <c r="AG85">
        <v>98.33</v>
      </c>
      <c r="AH85">
        <v>98.33</v>
      </c>
      <c r="AI85">
        <v>98.33</v>
      </c>
      <c r="AJ85">
        <v>98.33</v>
      </c>
      <c r="AT85">
        <v>74.17</v>
      </c>
      <c r="AU85">
        <v>0</v>
      </c>
      <c r="AV85">
        <v>74.17</v>
      </c>
      <c r="AY85">
        <v>0</v>
      </c>
      <c r="AZ85">
        <v>0</v>
      </c>
      <c r="BA85">
        <v>98.33</v>
      </c>
      <c r="BB85">
        <v>82.22</v>
      </c>
      <c r="BC85">
        <v>29.5</v>
      </c>
      <c r="BD85">
        <v>74</v>
      </c>
      <c r="BE85">
        <f t="shared" si="4"/>
        <v>133.5</v>
      </c>
      <c r="BF85">
        <f t="shared" si="3"/>
        <v>84</v>
      </c>
      <c r="BG85" t="s">
        <v>757</v>
      </c>
    </row>
    <row r="86" spans="1:59" x14ac:dyDescent="0.3">
      <c r="A86" t="s">
        <v>218</v>
      </c>
      <c r="B86">
        <v>128296</v>
      </c>
      <c r="C86">
        <v>24342669</v>
      </c>
      <c r="D86" t="s">
        <v>219</v>
      </c>
      <c r="E86" t="s">
        <v>61</v>
      </c>
      <c r="F86" t="s">
        <v>77</v>
      </c>
      <c r="G86">
        <v>8</v>
      </c>
      <c r="H86">
        <v>10</v>
      </c>
      <c r="I86">
        <v>10</v>
      </c>
      <c r="J86" t="s">
        <v>63</v>
      </c>
      <c r="K86" t="s">
        <v>63</v>
      </c>
      <c r="L86" t="s">
        <v>63</v>
      </c>
      <c r="N86" t="s">
        <v>63</v>
      </c>
      <c r="O86" t="s">
        <v>63</v>
      </c>
      <c r="P86" t="s">
        <v>63</v>
      </c>
      <c r="Q86" t="s">
        <v>63</v>
      </c>
      <c r="S86" t="s">
        <v>63</v>
      </c>
      <c r="T86" t="s">
        <v>63</v>
      </c>
      <c r="U86" t="s">
        <v>63</v>
      </c>
      <c r="V86" t="s">
        <v>63</v>
      </c>
      <c r="X86" t="s">
        <v>63</v>
      </c>
      <c r="Y86" t="s">
        <v>63</v>
      </c>
      <c r="Z86" t="s">
        <v>63</v>
      </c>
      <c r="AA86" t="s">
        <v>63</v>
      </c>
      <c r="AC86" t="s">
        <v>63</v>
      </c>
      <c r="AD86" t="s">
        <v>63</v>
      </c>
      <c r="AE86">
        <v>138</v>
      </c>
      <c r="AF86">
        <v>10</v>
      </c>
      <c r="AG86">
        <v>93.33</v>
      </c>
      <c r="AH86">
        <v>93.33</v>
      </c>
      <c r="AI86">
        <v>93.33</v>
      </c>
      <c r="AJ86">
        <v>93.33</v>
      </c>
      <c r="AT86">
        <v>76.67</v>
      </c>
      <c r="AU86">
        <v>0</v>
      </c>
      <c r="AV86">
        <v>76.67</v>
      </c>
      <c r="AY86">
        <v>0</v>
      </c>
      <c r="AZ86">
        <v>0</v>
      </c>
      <c r="BA86">
        <v>93.33</v>
      </c>
      <c r="BB86">
        <v>82.22</v>
      </c>
      <c r="BC86">
        <v>28</v>
      </c>
      <c r="BD86">
        <v>74</v>
      </c>
      <c r="BE86">
        <f t="shared" si="4"/>
        <v>138</v>
      </c>
      <c r="BF86">
        <f t="shared" si="3"/>
        <v>84</v>
      </c>
      <c r="BG86" t="s">
        <v>757</v>
      </c>
    </row>
    <row r="87" spans="1:59" x14ac:dyDescent="0.3">
      <c r="A87" t="s">
        <v>246</v>
      </c>
      <c r="B87">
        <v>123393</v>
      </c>
      <c r="C87">
        <v>24275876</v>
      </c>
      <c r="D87" t="s">
        <v>247</v>
      </c>
      <c r="E87" t="s">
        <v>61</v>
      </c>
      <c r="F87" t="s">
        <v>69</v>
      </c>
      <c r="G87">
        <v>6</v>
      </c>
      <c r="H87">
        <v>10</v>
      </c>
      <c r="I87">
        <v>10</v>
      </c>
      <c r="J87" t="s">
        <v>63</v>
      </c>
      <c r="L87" t="s">
        <v>63</v>
      </c>
      <c r="M87" t="s">
        <v>63</v>
      </c>
      <c r="N87" t="s">
        <v>63</v>
      </c>
      <c r="O87" t="s">
        <v>63</v>
      </c>
      <c r="Q87" t="s">
        <v>63</v>
      </c>
      <c r="R87" t="s">
        <v>63</v>
      </c>
      <c r="S87" t="s">
        <v>63</v>
      </c>
      <c r="T87" t="s">
        <v>63</v>
      </c>
      <c r="V87" t="s">
        <v>63</v>
      </c>
      <c r="W87" t="s">
        <v>63</v>
      </c>
      <c r="X87" t="s">
        <v>63</v>
      </c>
      <c r="Y87" t="s">
        <v>63</v>
      </c>
      <c r="AA87" t="s">
        <v>63</v>
      </c>
      <c r="AB87" t="s">
        <v>63</v>
      </c>
      <c r="AC87" t="s">
        <v>63</v>
      </c>
      <c r="AD87" t="s">
        <v>63</v>
      </c>
      <c r="AE87">
        <v>144</v>
      </c>
      <c r="AF87">
        <v>10</v>
      </c>
      <c r="AG87">
        <v>86.67</v>
      </c>
      <c r="AH87">
        <v>86.67</v>
      </c>
      <c r="AI87">
        <v>86.67</v>
      </c>
      <c r="AJ87">
        <v>86.67</v>
      </c>
      <c r="AT87">
        <v>80</v>
      </c>
      <c r="AU87">
        <v>0</v>
      </c>
      <c r="AV87">
        <v>80</v>
      </c>
      <c r="AY87">
        <v>0</v>
      </c>
      <c r="AZ87">
        <v>0</v>
      </c>
      <c r="BA87">
        <v>86.67</v>
      </c>
      <c r="BB87">
        <v>82.22</v>
      </c>
      <c r="BC87">
        <v>26</v>
      </c>
      <c r="BD87">
        <v>74</v>
      </c>
      <c r="BE87">
        <f t="shared" si="4"/>
        <v>144</v>
      </c>
      <c r="BF87">
        <f t="shared" si="3"/>
        <v>84</v>
      </c>
      <c r="BG87" t="s">
        <v>757</v>
      </c>
    </row>
    <row r="88" spans="1:59" x14ac:dyDescent="0.3">
      <c r="A88" t="s">
        <v>290</v>
      </c>
      <c r="B88">
        <v>127468</v>
      </c>
      <c r="C88">
        <v>24331449</v>
      </c>
      <c r="D88" t="s">
        <v>291</v>
      </c>
      <c r="E88" t="s">
        <v>61</v>
      </c>
      <c r="F88" t="s">
        <v>62</v>
      </c>
      <c r="G88">
        <v>9.5</v>
      </c>
      <c r="H88">
        <v>10</v>
      </c>
      <c r="I88">
        <v>10</v>
      </c>
      <c r="J88" t="s">
        <v>63</v>
      </c>
      <c r="K88" t="s">
        <v>63</v>
      </c>
      <c r="L88" t="s">
        <v>63</v>
      </c>
      <c r="M88" t="s">
        <v>63</v>
      </c>
      <c r="O88" t="s">
        <v>63</v>
      </c>
      <c r="P88" t="s">
        <v>63</v>
      </c>
      <c r="Q88" t="s">
        <v>63</v>
      </c>
      <c r="R88" t="s">
        <v>63</v>
      </c>
      <c r="T88" t="s">
        <v>63</v>
      </c>
      <c r="U88" t="s">
        <v>63</v>
      </c>
      <c r="V88" t="s">
        <v>63</v>
      </c>
      <c r="W88" t="s">
        <v>63</v>
      </c>
      <c r="Y88" t="s">
        <v>63</v>
      </c>
      <c r="Z88" t="s">
        <v>63</v>
      </c>
      <c r="AA88" t="s">
        <v>63</v>
      </c>
      <c r="AB88" t="s">
        <v>63</v>
      </c>
      <c r="AD88" t="s">
        <v>63</v>
      </c>
      <c r="AE88">
        <v>133.5</v>
      </c>
      <c r="AF88">
        <v>10</v>
      </c>
      <c r="AG88">
        <v>98.33</v>
      </c>
      <c r="AH88">
        <v>98.33</v>
      </c>
      <c r="AI88">
        <v>98.33</v>
      </c>
      <c r="AJ88">
        <v>98.33</v>
      </c>
      <c r="AT88">
        <v>74.17</v>
      </c>
      <c r="AU88">
        <v>0</v>
      </c>
      <c r="AV88">
        <v>74.17</v>
      </c>
      <c r="AY88">
        <v>0</v>
      </c>
      <c r="AZ88">
        <v>0</v>
      </c>
      <c r="BA88">
        <v>98.33</v>
      </c>
      <c r="BB88">
        <v>82.22</v>
      </c>
      <c r="BC88">
        <v>29.5</v>
      </c>
      <c r="BD88">
        <v>74</v>
      </c>
      <c r="BE88">
        <f t="shared" si="4"/>
        <v>133.5</v>
      </c>
      <c r="BF88">
        <f t="shared" si="3"/>
        <v>84</v>
      </c>
      <c r="BG88" t="s">
        <v>757</v>
      </c>
    </row>
    <row r="89" spans="1:59" x14ac:dyDescent="0.3">
      <c r="A89" t="s">
        <v>388</v>
      </c>
      <c r="B89">
        <v>122922</v>
      </c>
      <c r="C89">
        <v>24274771</v>
      </c>
      <c r="D89" t="s">
        <v>389</v>
      </c>
      <c r="E89" t="s">
        <v>61</v>
      </c>
      <c r="F89" t="s">
        <v>62</v>
      </c>
      <c r="G89">
        <v>9</v>
      </c>
      <c r="H89">
        <v>10</v>
      </c>
      <c r="I89">
        <v>10</v>
      </c>
      <c r="J89" t="s">
        <v>63</v>
      </c>
      <c r="K89" t="s">
        <v>63</v>
      </c>
      <c r="L89" t="s">
        <v>63</v>
      </c>
      <c r="M89" t="s">
        <v>63</v>
      </c>
      <c r="O89" t="s">
        <v>63</v>
      </c>
      <c r="P89" t="s">
        <v>63</v>
      </c>
      <c r="Q89" t="s">
        <v>63</v>
      </c>
      <c r="R89" t="s">
        <v>63</v>
      </c>
      <c r="T89" t="s">
        <v>63</v>
      </c>
      <c r="U89" t="s">
        <v>63</v>
      </c>
      <c r="V89" t="s">
        <v>63</v>
      </c>
      <c r="W89" t="s">
        <v>63</v>
      </c>
      <c r="Y89" t="s">
        <v>63</v>
      </c>
      <c r="Z89" t="s">
        <v>63</v>
      </c>
      <c r="AA89" t="s">
        <v>63</v>
      </c>
      <c r="AB89" t="s">
        <v>63</v>
      </c>
      <c r="AD89" t="s">
        <v>63</v>
      </c>
      <c r="AE89">
        <v>135</v>
      </c>
      <c r="AF89">
        <v>10</v>
      </c>
      <c r="AG89">
        <v>96.67</v>
      </c>
      <c r="AH89">
        <v>96.67</v>
      </c>
      <c r="AI89">
        <v>96.67</v>
      </c>
      <c r="AJ89">
        <v>96.67</v>
      </c>
      <c r="AT89">
        <v>75</v>
      </c>
      <c r="AU89">
        <v>0</v>
      </c>
      <c r="AV89">
        <v>75</v>
      </c>
      <c r="AY89">
        <v>0</v>
      </c>
      <c r="AZ89">
        <v>0</v>
      </c>
      <c r="BA89">
        <v>96.67</v>
      </c>
      <c r="BB89">
        <v>82.22</v>
      </c>
      <c r="BC89">
        <v>29</v>
      </c>
      <c r="BD89">
        <v>74</v>
      </c>
      <c r="BE89">
        <f t="shared" si="4"/>
        <v>135</v>
      </c>
      <c r="BF89">
        <f t="shared" si="3"/>
        <v>84</v>
      </c>
      <c r="BG89" t="s">
        <v>757</v>
      </c>
    </row>
    <row r="90" spans="1:59" x14ac:dyDescent="0.3">
      <c r="A90" t="s">
        <v>628</v>
      </c>
      <c r="B90">
        <v>129986</v>
      </c>
      <c r="C90">
        <v>24361267</v>
      </c>
      <c r="D90" t="s">
        <v>629</v>
      </c>
      <c r="E90" t="s">
        <v>61</v>
      </c>
      <c r="F90" t="s">
        <v>66</v>
      </c>
      <c r="G90">
        <v>9.5</v>
      </c>
      <c r="H90">
        <v>10</v>
      </c>
      <c r="I90">
        <v>10</v>
      </c>
      <c r="K90" t="s">
        <v>63</v>
      </c>
      <c r="L90" t="s">
        <v>63</v>
      </c>
      <c r="M90" t="s">
        <v>63</v>
      </c>
      <c r="N90" t="s">
        <v>63</v>
      </c>
      <c r="P90" t="s">
        <v>63</v>
      </c>
      <c r="Q90" t="s">
        <v>63</v>
      </c>
      <c r="R90" t="s">
        <v>63</v>
      </c>
      <c r="S90" t="s">
        <v>63</v>
      </c>
      <c r="U90" t="s">
        <v>63</v>
      </c>
      <c r="V90" t="s">
        <v>63</v>
      </c>
      <c r="W90" t="s">
        <v>63</v>
      </c>
      <c r="X90" t="s">
        <v>63</v>
      </c>
      <c r="Z90" t="s">
        <v>63</v>
      </c>
      <c r="AA90" t="s">
        <v>63</v>
      </c>
      <c r="AB90" t="s">
        <v>63</v>
      </c>
      <c r="AC90" t="s">
        <v>63</v>
      </c>
      <c r="AD90" t="s">
        <v>63</v>
      </c>
      <c r="AE90">
        <v>133.5</v>
      </c>
      <c r="AF90">
        <v>10</v>
      </c>
      <c r="AG90">
        <v>98.33</v>
      </c>
      <c r="AH90">
        <v>98.33</v>
      </c>
      <c r="AI90">
        <v>98.33</v>
      </c>
      <c r="AJ90">
        <v>98.33</v>
      </c>
      <c r="AT90">
        <v>74.17</v>
      </c>
      <c r="AU90">
        <v>0</v>
      </c>
      <c r="AV90">
        <v>74.17</v>
      </c>
      <c r="AY90">
        <v>0</v>
      </c>
      <c r="AZ90">
        <v>0</v>
      </c>
      <c r="BA90">
        <v>98.33</v>
      </c>
      <c r="BB90">
        <v>82.22</v>
      </c>
      <c r="BC90">
        <v>29.5</v>
      </c>
      <c r="BD90">
        <v>74</v>
      </c>
      <c r="BE90">
        <f t="shared" si="4"/>
        <v>133.5</v>
      </c>
      <c r="BF90">
        <f t="shared" si="3"/>
        <v>84</v>
      </c>
      <c r="BG90" t="s">
        <v>757</v>
      </c>
    </row>
    <row r="91" spans="1:59" x14ac:dyDescent="0.3">
      <c r="A91" t="s">
        <v>646</v>
      </c>
      <c r="B91">
        <v>128141</v>
      </c>
      <c r="C91">
        <v>24339983</v>
      </c>
      <c r="D91" t="s">
        <v>647</v>
      </c>
      <c r="E91" t="s">
        <v>61</v>
      </c>
      <c r="F91" t="s">
        <v>62</v>
      </c>
      <c r="G91">
        <v>10</v>
      </c>
      <c r="H91">
        <v>10</v>
      </c>
      <c r="I91">
        <v>10</v>
      </c>
      <c r="J91" t="s">
        <v>63</v>
      </c>
      <c r="K91" t="s">
        <v>63</v>
      </c>
      <c r="L91" t="s">
        <v>63</v>
      </c>
      <c r="M91" t="s">
        <v>63</v>
      </c>
      <c r="O91" t="s">
        <v>63</v>
      </c>
      <c r="P91" t="s">
        <v>63</v>
      </c>
      <c r="Q91" t="s">
        <v>63</v>
      </c>
      <c r="R91" t="s">
        <v>63</v>
      </c>
      <c r="T91" t="s">
        <v>63</v>
      </c>
      <c r="U91" t="s">
        <v>63</v>
      </c>
      <c r="V91" t="s">
        <v>63</v>
      </c>
      <c r="W91" t="s">
        <v>63</v>
      </c>
      <c r="Y91" t="s">
        <v>63</v>
      </c>
      <c r="Z91" t="s">
        <v>63</v>
      </c>
      <c r="AA91" t="s">
        <v>63</v>
      </c>
      <c r="AB91" t="s">
        <v>63</v>
      </c>
      <c r="AD91" t="s">
        <v>63</v>
      </c>
      <c r="AE91">
        <v>132</v>
      </c>
      <c r="AF91">
        <v>10</v>
      </c>
      <c r="AG91">
        <v>100</v>
      </c>
      <c r="AH91">
        <v>100</v>
      </c>
      <c r="AI91">
        <v>100</v>
      </c>
      <c r="AJ91">
        <v>100</v>
      </c>
      <c r="AT91">
        <v>73.33</v>
      </c>
      <c r="AU91">
        <v>0</v>
      </c>
      <c r="AV91">
        <v>73.33</v>
      </c>
      <c r="AY91">
        <v>0</v>
      </c>
      <c r="AZ91">
        <v>0</v>
      </c>
      <c r="BA91">
        <v>100</v>
      </c>
      <c r="BB91">
        <v>82.22</v>
      </c>
      <c r="BC91">
        <v>30</v>
      </c>
      <c r="BD91">
        <v>74</v>
      </c>
      <c r="BE91">
        <f t="shared" si="4"/>
        <v>132</v>
      </c>
      <c r="BF91">
        <f t="shared" si="3"/>
        <v>84</v>
      </c>
      <c r="BG91" t="s">
        <v>757</v>
      </c>
    </row>
    <row r="92" spans="1:59" x14ac:dyDescent="0.3">
      <c r="A92" t="s">
        <v>540</v>
      </c>
      <c r="B92">
        <v>128683</v>
      </c>
      <c r="C92">
        <v>24347888</v>
      </c>
      <c r="D92" t="s">
        <v>541</v>
      </c>
      <c r="E92" t="s">
        <v>61</v>
      </c>
      <c r="F92" t="s">
        <v>77</v>
      </c>
      <c r="G92">
        <v>7.75</v>
      </c>
      <c r="H92">
        <v>10</v>
      </c>
      <c r="I92">
        <v>9.5</v>
      </c>
      <c r="J92" t="s">
        <v>63</v>
      </c>
      <c r="K92" t="s">
        <v>63</v>
      </c>
      <c r="L92" t="s">
        <v>63</v>
      </c>
      <c r="N92" t="s">
        <v>63</v>
      </c>
      <c r="O92" t="s">
        <v>63</v>
      </c>
      <c r="P92" t="s">
        <v>63</v>
      </c>
      <c r="Q92" t="s">
        <v>63</v>
      </c>
      <c r="S92" t="s">
        <v>63</v>
      </c>
      <c r="T92" t="s">
        <v>63</v>
      </c>
      <c r="U92" t="s">
        <v>63</v>
      </c>
      <c r="V92" t="s">
        <v>63</v>
      </c>
      <c r="X92" t="s">
        <v>63</v>
      </c>
      <c r="Y92" t="s">
        <v>63</v>
      </c>
      <c r="Z92" t="s">
        <v>63</v>
      </c>
      <c r="AA92" t="s">
        <v>63</v>
      </c>
      <c r="AC92" t="s">
        <v>63</v>
      </c>
      <c r="AD92" t="s">
        <v>63</v>
      </c>
      <c r="AE92">
        <v>140</v>
      </c>
      <c r="AF92">
        <v>10</v>
      </c>
      <c r="AG92">
        <v>90.83</v>
      </c>
      <c r="AH92">
        <v>90.83</v>
      </c>
      <c r="AI92">
        <v>90.83</v>
      </c>
      <c r="AJ92">
        <v>90.83</v>
      </c>
      <c r="AT92">
        <v>77.78</v>
      </c>
      <c r="AU92">
        <v>0</v>
      </c>
      <c r="AV92">
        <v>77.78</v>
      </c>
      <c r="AY92">
        <v>0</v>
      </c>
      <c r="AZ92">
        <v>0</v>
      </c>
      <c r="BA92">
        <v>90.83</v>
      </c>
      <c r="BB92">
        <v>82.13</v>
      </c>
      <c r="BC92">
        <v>27.25</v>
      </c>
      <c r="BD92">
        <v>73.92</v>
      </c>
      <c r="BE92">
        <f t="shared" si="4"/>
        <v>140</v>
      </c>
      <c r="BF92">
        <f t="shared" si="3"/>
        <v>83.916666666666657</v>
      </c>
      <c r="BG92" t="s">
        <v>757</v>
      </c>
    </row>
    <row r="93" spans="1:59" x14ac:dyDescent="0.3">
      <c r="A93" t="s">
        <v>722</v>
      </c>
      <c r="B93">
        <v>127371</v>
      </c>
      <c r="C93">
        <v>24329834</v>
      </c>
      <c r="D93" t="s">
        <v>723</v>
      </c>
      <c r="E93" t="s">
        <v>61</v>
      </c>
      <c r="F93" t="s">
        <v>77</v>
      </c>
      <c r="G93">
        <v>6.75</v>
      </c>
      <c r="H93">
        <v>10</v>
      </c>
      <c r="I93">
        <v>10</v>
      </c>
      <c r="J93" t="s">
        <v>63</v>
      </c>
      <c r="K93" t="s">
        <v>63</v>
      </c>
      <c r="L93" t="s">
        <v>63</v>
      </c>
      <c r="N93" t="s">
        <v>63</v>
      </c>
      <c r="O93" t="s">
        <v>63</v>
      </c>
      <c r="P93" t="s">
        <v>63</v>
      </c>
      <c r="Q93" t="s">
        <v>63</v>
      </c>
      <c r="S93" t="s">
        <v>63</v>
      </c>
      <c r="T93" t="s">
        <v>63</v>
      </c>
      <c r="U93" t="s">
        <v>63</v>
      </c>
      <c r="V93" t="s">
        <v>63</v>
      </c>
      <c r="X93" t="s">
        <v>63</v>
      </c>
      <c r="Y93" t="s">
        <v>63</v>
      </c>
      <c r="Z93" t="s">
        <v>63</v>
      </c>
      <c r="AA93" t="s">
        <v>63</v>
      </c>
      <c r="AC93" t="s">
        <v>63</v>
      </c>
      <c r="AD93" t="s">
        <v>63</v>
      </c>
      <c r="AE93">
        <v>141.5</v>
      </c>
      <c r="AF93">
        <v>10</v>
      </c>
      <c r="AG93">
        <v>89.17</v>
      </c>
      <c r="AH93">
        <v>89.17</v>
      </c>
      <c r="AI93">
        <v>89.17</v>
      </c>
      <c r="AJ93">
        <v>89.17</v>
      </c>
      <c r="AT93">
        <v>78.61</v>
      </c>
      <c r="AU93">
        <v>0</v>
      </c>
      <c r="AV93">
        <v>78.61</v>
      </c>
      <c r="AY93">
        <v>0</v>
      </c>
      <c r="AZ93">
        <v>0</v>
      </c>
      <c r="BA93">
        <v>89.17</v>
      </c>
      <c r="BB93">
        <v>82.13</v>
      </c>
      <c r="BC93">
        <v>26.75</v>
      </c>
      <c r="BD93">
        <v>73.92</v>
      </c>
      <c r="BE93">
        <f t="shared" si="4"/>
        <v>141.5</v>
      </c>
      <c r="BF93">
        <f t="shared" si="3"/>
        <v>83.916666666666657</v>
      </c>
      <c r="BG93" t="s">
        <v>757</v>
      </c>
    </row>
    <row r="94" spans="1:59" x14ac:dyDescent="0.3">
      <c r="A94" t="s">
        <v>274</v>
      </c>
      <c r="B94">
        <v>86275</v>
      </c>
      <c r="C94">
        <v>17524297</v>
      </c>
      <c r="D94" t="s">
        <v>275</v>
      </c>
      <c r="E94" t="s">
        <v>61</v>
      </c>
      <c r="F94" t="s">
        <v>77</v>
      </c>
      <c r="G94">
        <v>7</v>
      </c>
      <c r="H94">
        <v>10</v>
      </c>
      <c r="I94">
        <v>10</v>
      </c>
      <c r="J94" t="s">
        <v>63</v>
      </c>
      <c r="K94" t="s">
        <v>63</v>
      </c>
      <c r="L94" t="s">
        <v>63</v>
      </c>
      <c r="N94" t="s">
        <v>63</v>
      </c>
      <c r="O94" t="s">
        <v>63</v>
      </c>
      <c r="P94" t="s">
        <v>63</v>
      </c>
      <c r="Q94" t="s">
        <v>63</v>
      </c>
      <c r="S94" t="s">
        <v>63</v>
      </c>
      <c r="T94" t="s">
        <v>63</v>
      </c>
      <c r="U94" t="s">
        <v>63</v>
      </c>
      <c r="V94" t="s">
        <v>63</v>
      </c>
      <c r="X94" t="s">
        <v>63</v>
      </c>
      <c r="Y94" t="s">
        <v>63</v>
      </c>
      <c r="Z94" t="s">
        <v>63</v>
      </c>
      <c r="AA94" t="s">
        <v>63</v>
      </c>
      <c r="AC94" t="s">
        <v>63</v>
      </c>
      <c r="AD94" t="s">
        <v>63</v>
      </c>
      <c r="AE94">
        <v>140.5</v>
      </c>
      <c r="AF94">
        <v>10</v>
      </c>
      <c r="AG94">
        <v>90</v>
      </c>
      <c r="AH94">
        <v>90</v>
      </c>
      <c r="AI94">
        <v>90</v>
      </c>
      <c r="AJ94">
        <v>90</v>
      </c>
      <c r="AT94">
        <v>78.06</v>
      </c>
      <c r="AU94">
        <v>0</v>
      </c>
      <c r="AV94">
        <v>78.06</v>
      </c>
      <c r="AY94">
        <v>0</v>
      </c>
      <c r="AZ94">
        <v>0</v>
      </c>
      <c r="BA94">
        <v>90</v>
      </c>
      <c r="BB94">
        <v>82.04</v>
      </c>
      <c r="BC94">
        <v>27</v>
      </c>
      <c r="BD94">
        <v>73.83</v>
      </c>
      <c r="BE94">
        <f t="shared" si="4"/>
        <v>140.5</v>
      </c>
      <c r="BF94">
        <f t="shared" si="3"/>
        <v>83.833333333333343</v>
      </c>
      <c r="BG94" t="s">
        <v>757</v>
      </c>
    </row>
    <row r="95" spans="1:59" x14ac:dyDescent="0.3">
      <c r="A95" t="s">
        <v>334</v>
      </c>
      <c r="B95">
        <v>122853</v>
      </c>
      <c r="C95">
        <v>24275672</v>
      </c>
      <c r="D95" t="s">
        <v>335</v>
      </c>
      <c r="E95" t="s">
        <v>61</v>
      </c>
      <c r="F95" t="s">
        <v>66</v>
      </c>
      <c r="G95">
        <v>8</v>
      </c>
      <c r="H95">
        <v>10</v>
      </c>
      <c r="I95">
        <v>10</v>
      </c>
      <c r="K95" t="s">
        <v>63</v>
      </c>
      <c r="L95" t="s">
        <v>63</v>
      </c>
      <c r="M95" t="s">
        <v>63</v>
      </c>
      <c r="N95" t="s">
        <v>63</v>
      </c>
      <c r="P95" t="s">
        <v>63</v>
      </c>
      <c r="Q95" t="s">
        <v>63</v>
      </c>
      <c r="R95" t="s">
        <v>63</v>
      </c>
      <c r="S95" t="s">
        <v>63</v>
      </c>
      <c r="U95" t="s">
        <v>63</v>
      </c>
      <c r="V95" t="s">
        <v>63</v>
      </c>
      <c r="W95" t="s">
        <v>63</v>
      </c>
      <c r="X95" t="s">
        <v>63</v>
      </c>
      <c r="Z95" t="s">
        <v>63</v>
      </c>
      <c r="AA95" t="s">
        <v>63</v>
      </c>
      <c r="AB95" t="s">
        <v>63</v>
      </c>
      <c r="AC95" t="s">
        <v>63</v>
      </c>
      <c r="AD95" t="s">
        <v>63</v>
      </c>
      <c r="AE95">
        <v>137.5</v>
      </c>
      <c r="AF95">
        <v>10</v>
      </c>
      <c r="AG95">
        <v>93.33</v>
      </c>
      <c r="AH95">
        <v>93.33</v>
      </c>
      <c r="AI95">
        <v>93.33</v>
      </c>
      <c r="AJ95">
        <v>93.33</v>
      </c>
      <c r="AT95">
        <v>76.39</v>
      </c>
      <c r="AU95">
        <v>0</v>
      </c>
      <c r="AV95">
        <v>76.39</v>
      </c>
      <c r="AY95">
        <v>0</v>
      </c>
      <c r="AZ95">
        <v>0</v>
      </c>
      <c r="BA95">
        <v>93.33</v>
      </c>
      <c r="BB95">
        <v>82.04</v>
      </c>
      <c r="BC95">
        <v>28</v>
      </c>
      <c r="BD95">
        <v>73.83</v>
      </c>
      <c r="BE95">
        <f t="shared" si="4"/>
        <v>137.5</v>
      </c>
      <c r="BF95">
        <f t="shared" si="3"/>
        <v>83.833333333333343</v>
      </c>
      <c r="BG95" t="s">
        <v>757</v>
      </c>
    </row>
    <row r="96" spans="1:59" x14ac:dyDescent="0.3">
      <c r="A96" t="s">
        <v>542</v>
      </c>
      <c r="B96">
        <v>128264</v>
      </c>
      <c r="C96">
        <v>24342839</v>
      </c>
      <c r="D96" t="s">
        <v>543</v>
      </c>
      <c r="E96" t="s">
        <v>61</v>
      </c>
      <c r="F96" t="s">
        <v>77</v>
      </c>
      <c r="G96">
        <v>8</v>
      </c>
      <c r="H96">
        <v>10</v>
      </c>
      <c r="I96">
        <v>9.5</v>
      </c>
      <c r="J96" t="s">
        <v>63</v>
      </c>
      <c r="K96" t="s">
        <v>63</v>
      </c>
      <c r="L96" t="s">
        <v>63</v>
      </c>
      <c r="N96" t="s">
        <v>63</v>
      </c>
      <c r="O96" t="s">
        <v>63</v>
      </c>
      <c r="P96" t="s">
        <v>63</v>
      </c>
      <c r="Q96" t="s">
        <v>63</v>
      </c>
      <c r="S96" t="s">
        <v>63</v>
      </c>
      <c r="T96" t="s">
        <v>63</v>
      </c>
      <c r="U96" t="s">
        <v>63</v>
      </c>
      <c r="V96" t="s">
        <v>63</v>
      </c>
      <c r="X96" t="s">
        <v>63</v>
      </c>
      <c r="Y96" t="s">
        <v>63</v>
      </c>
      <c r="Z96" t="s">
        <v>63</v>
      </c>
      <c r="AA96" t="s">
        <v>63</v>
      </c>
      <c r="AC96" t="s">
        <v>63</v>
      </c>
      <c r="AD96" t="s">
        <v>63</v>
      </c>
      <c r="AE96">
        <v>139</v>
      </c>
      <c r="AF96">
        <v>10</v>
      </c>
      <c r="AG96">
        <v>91.67</v>
      </c>
      <c r="AH96">
        <v>91.67</v>
      </c>
      <c r="AI96">
        <v>91.67</v>
      </c>
      <c r="AJ96">
        <v>91.67</v>
      </c>
      <c r="AT96">
        <v>77.22</v>
      </c>
      <c r="AU96">
        <v>0</v>
      </c>
      <c r="AV96">
        <v>77.22</v>
      </c>
      <c r="AY96">
        <v>0</v>
      </c>
      <c r="AZ96">
        <v>0</v>
      </c>
      <c r="BA96">
        <v>91.67</v>
      </c>
      <c r="BB96">
        <v>82.04</v>
      </c>
      <c r="BC96">
        <v>27.5</v>
      </c>
      <c r="BD96">
        <v>73.83</v>
      </c>
      <c r="BE96">
        <f t="shared" si="4"/>
        <v>139</v>
      </c>
      <c r="BF96">
        <f t="shared" si="3"/>
        <v>83.833333333333343</v>
      </c>
      <c r="BG96" t="s">
        <v>757</v>
      </c>
    </row>
    <row r="97" spans="1:59" x14ac:dyDescent="0.3">
      <c r="A97" t="s">
        <v>644</v>
      </c>
      <c r="B97">
        <v>128290</v>
      </c>
      <c r="C97">
        <v>24342533</v>
      </c>
      <c r="D97" t="s">
        <v>645</v>
      </c>
      <c r="E97" t="s">
        <v>61</v>
      </c>
      <c r="F97" t="s">
        <v>66</v>
      </c>
      <c r="G97">
        <v>9</v>
      </c>
      <c r="H97">
        <v>10</v>
      </c>
      <c r="I97">
        <v>9.5</v>
      </c>
      <c r="K97" t="s">
        <v>63</v>
      </c>
      <c r="L97" t="s">
        <v>63</v>
      </c>
      <c r="M97" t="s">
        <v>63</v>
      </c>
      <c r="N97" t="s">
        <v>63</v>
      </c>
      <c r="P97" t="s">
        <v>63</v>
      </c>
      <c r="Q97" t="s">
        <v>63</v>
      </c>
      <c r="R97" t="s">
        <v>63</v>
      </c>
      <c r="S97" t="s">
        <v>63</v>
      </c>
      <c r="U97" t="s">
        <v>63</v>
      </c>
      <c r="V97" t="s">
        <v>63</v>
      </c>
      <c r="W97" t="s">
        <v>63</v>
      </c>
      <c r="X97" t="s">
        <v>63</v>
      </c>
      <c r="Z97" t="s">
        <v>63</v>
      </c>
      <c r="AA97" t="s">
        <v>63</v>
      </c>
      <c r="AB97" t="s">
        <v>63</v>
      </c>
      <c r="AC97" t="s">
        <v>63</v>
      </c>
      <c r="AD97" t="s">
        <v>63</v>
      </c>
      <c r="AE97">
        <v>136</v>
      </c>
      <c r="AF97">
        <v>10</v>
      </c>
      <c r="AG97">
        <v>95</v>
      </c>
      <c r="AH97">
        <v>95</v>
      </c>
      <c r="AI97">
        <v>95</v>
      </c>
      <c r="AJ97">
        <v>95</v>
      </c>
      <c r="AT97">
        <v>75.56</v>
      </c>
      <c r="AU97">
        <v>0</v>
      </c>
      <c r="AV97">
        <v>75.56</v>
      </c>
      <c r="AY97">
        <v>0</v>
      </c>
      <c r="AZ97">
        <v>0</v>
      </c>
      <c r="BA97">
        <v>95</v>
      </c>
      <c r="BB97">
        <v>82.04</v>
      </c>
      <c r="BC97">
        <v>28.5</v>
      </c>
      <c r="BD97">
        <v>73.83</v>
      </c>
      <c r="BE97">
        <f t="shared" si="4"/>
        <v>136</v>
      </c>
      <c r="BF97">
        <f t="shared" si="3"/>
        <v>83.833333333333343</v>
      </c>
      <c r="BG97" t="s">
        <v>757</v>
      </c>
    </row>
    <row r="98" spans="1:59" x14ac:dyDescent="0.3">
      <c r="A98" t="s">
        <v>698</v>
      </c>
      <c r="B98">
        <v>123338</v>
      </c>
      <c r="C98">
        <v>24274856</v>
      </c>
      <c r="D98" t="s">
        <v>699</v>
      </c>
      <c r="E98" t="s">
        <v>61</v>
      </c>
      <c r="F98" t="s">
        <v>77</v>
      </c>
      <c r="G98">
        <v>8.25</v>
      </c>
      <c r="H98">
        <v>10</v>
      </c>
      <c r="I98">
        <v>10</v>
      </c>
      <c r="J98" t="s">
        <v>63</v>
      </c>
      <c r="K98" t="s">
        <v>63</v>
      </c>
      <c r="L98" t="s">
        <v>63</v>
      </c>
      <c r="N98" t="s">
        <v>63</v>
      </c>
      <c r="O98" t="s">
        <v>63</v>
      </c>
      <c r="P98" t="s">
        <v>63</v>
      </c>
      <c r="Q98" t="s">
        <v>63</v>
      </c>
      <c r="S98" t="s">
        <v>63</v>
      </c>
      <c r="T98" t="s">
        <v>63</v>
      </c>
      <c r="U98" t="s">
        <v>63</v>
      </c>
      <c r="V98" t="s">
        <v>63</v>
      </c>
      <c r="X98" t="s">
        <v>63</v>
      </c>
      <c r="Y98" t="s">
        <v>63</v>
      </c>
      <c r="Z98" t="s">
        <v>63</v>
      </c>
      <c r="AA98" t="s">
        <v>63</v>
      </c>
      <c r="AC98" t="s">
        <v>63</v>
      </c>
      <c r="AD98" t="s">
        <v>63</v>
      </c>
      <c r="AE98">
        <v>136.5</v>
      </c>
      <c r="AF98">
        <v>10</v>
      </c>
      <c r="AG98">
        <v>94.17</v>
      </c>
      <c r="AH98">
        <v>94.17</v>
      </c>
      <c r="AI98">
        <v>94.17</v>
      </c>
      <c r="AJ98">
        <v>94.17</v>
      </c>
      <c r="AT98">
        <v>75.83</v>
      </c>
      <c r="AU98">
        <v>0</v>
      </c>
      <c r="AV98">
        <v>75.83</v>
      </c>
      <c r="AY98">
        <v>0</v>
      </c>
      <c r="AZ98">
        <v>0</v>
      </c>
      <c r="BA98">
        <v>94.17</v>
      </c>
      <c r="BB98">
        <v>81.94</v>
      </c>
      <c r="BC98">
        <v>28.25</v>
      </c>
      <c r="BD98">
        <v>73.75</v>
      </c>
      <c r="BE98">
        <f t="shared" si="4"/>
        <v>136.5</v>
      </c>
      <c r="BF98">
        <f t="shared" si="3"/>
        <v>83.75</v>
      </c>
      <c r="BG98" t="s">
        <v>757</v>
      </c>
    </row>
    <row r="99" spans="1:59" x14ac:dyDescent="0.3">
      <c r="A99" t="s">
        <v>410</v>
      </c>
      <c r="B99">
        <v>127803</v>
      </c>
      <c r="C99">
        <v>24336600</v>
      </c>
      <c r="D99" t="s">
        <v>411</v>
      </c>
      <c r="E99" t="s">
        <v>61</v>
      </c>
      <c r="F99" t="s">
        <v>66</v>
      </c>
      <c r="G99">
        <v>9</v>
      </c>
      <c r="H99">
        <v>10</v>
      </c>
      <c r="I99">
        <v>10</v>
      </c>
      <c r="K99" t="s">
        <v>63</v>
      </c>
      <c r="L99" t="s">
        <v>63</v>
      </c>
      <c r="M99" t="s">
        <v>63</v>
      </c>
      <c r="N99" t="s">
        <v>63</v>
      </c>
      <c r="P99" t="s">
        <v>63</v>
      </c>
      <c r="Q99" t="s">
        <v>63</v>
      </c>
      <c r="R99" t="s">
        <v>63</v>
      </c>
      <c r="S99" t="s">
        <v>63</v>
      </c>
      <c r="U99" t="s">
        <v>63</v>
      </c>
      <c r="V99" t="s">
        <v>63</v>
      </c>
      <c r="W99" t="s">
        <v>63</v>
      </c>
      <c r="X99" t="s">
        <v>63</v>
      </c>
      <c r="Z99" t="s">
        <v>63</v>
      </c>
      <c r="AA99" t="s">
        <v>63</v>
      </c>
      <c r="AB99" t="s">
        <v>63</v>
      </c>
      <c r="AC99" t="s">
        <v>63</v>
      </c>
      <c r="AD99" t="s">
        <v>63</v>
      </c>
      <c r="AE99">
        <v>134</v>
      </c>
      <c r="AF99">
        <v>10</v>
      </c>
      <c r="AG99">
        <v>96.67</v>
      </c>
      <c r="AH99">
        <v>96.67</v>
      </c>
      <c r="AI99">
        <v>96.67</v>
      </c>
      <c r="AJ99">
        <v>96.67</v>
      </c>
      <c r="AT99">
        <v>74.44</v>
      </c>
      <c r="AU99">
        <v>0</v>
      </c>
      <c r="AV99">
        <v>74.44</v>
      </c>
      <c r="AY99">
        <v>0</v>
      </c>
      <c r="AZ99">
        <v>0</v>
      </c>
      <c r="BA99">
        <v>96.67</v>
      </c>
      <c r="BB99">
        <v>81.849999999999994</v>
      </c>
      <c r="BC99">
        <v>29</v>
      </c>
      <c r="BD99">
        <v>73.67</v>
      </c>
      <c r="BE99">
        <f t="shared" si="4"/>
        <v>134</v>
      </c>
      <c r="BF99">
        <f t="shared" si="3"/>
        <v>83.666666666666657</v>
      </c>
      <c r="BG99" t="s">
        <v>757</v>
      </c>
    </row>
    <row r="100" spans="1:59" x14ac:dyDescent="0.3">
      <c r="A100" t="s">
        <v>204</v>
      </c>
      <c r="B100">
        <v>128258</v>
      </c>
      <c r="C100">
        <v>24342771</v>
      </c>
      <c r="D100" t="s">
        <v>205</v>
      </c>
      <c r="E100" t="s">
        <v>61</v>
      </c>
      <c r="F100" t="s">
        <v>72</v>
      </c>
      <c r="G100">
        <v>7.5</v>
      </c>
      <c r="H100">
        <v>10</v>
      </c>
      <c r="I100">
        <v>10</v>
      </c>
      <c r="J100" t="s">
        <v>63</v>
      </c>
      <c r="K100" t="s">
        <v>63</v>
      </c>
      <c r="M100" t="s">
        <v>63</v>
      </c>
      <c r="N100" t="s">
        <v>63</v>
      </c>
      <c r="O100" t="s">
        <v>63</v>
      </c>
      <c r="P100" t="s">
        <v>63</v>
      </c>
      <c r="R100" t="s">
        <v>63</v>
      </c>
      <c r="S100" t="s">
        <v>63</v>
      </c>
      <c r="T100" t="s">
        <v>63</v>
      </c>
      <c r="U100" t="s">
        <v>63</v>
      </c>
      <c r="W100" t="s">
        <v>63</v>
      </c>
      <c r="X100" t="s">
        <v>63</v>
      </c>
      <c r="Y100" t="s">
        <v>63</v>
      </c>
      <c r="Z100" t="s">
        <v>63</v>
      </c>
      <c r="AB100" t="s">
        <v>63</v>
      </c>
      <c r="AC100" t="s">
        <v>63</v>
      </c>
      <c r="AD100" t="s">
        <v>63</v>
      </c>
      <c r="AE100">
        <v>138</v>
      </c>
      <c r="AF100">
        <v>10</v>
      </c>
      <c r="AG100">
        <v>91.67</v>
      </c>
      <c r="AH100">
        <v>91.67</v>
      </c>
      <c r="AI100">
        <v>91.67</v>
      </c>
      <c r="AJ100">
        <v>91.67</v>
      </c>
      <c r="AT100">
        <v>76.67</v>
      </c>
      <c r="AU100">
        <v>0</v>
      </c>
      <c r="AV100">
        <v>76.67</v>
      </c>
      <c r="AY100">
        <v>0</v>
      </c>
      <c r="AZ100">
        <v>0</v>
      </c>
      <c r="BA100">
        <v>91.67</v>
      </c>
      <c r="BB100">
        <v>81.67</v>
      </c>
      <c r="BC100">
        <v>27.5</v>
      </c>
      <c r="BD100">
        <v>73.5</v>
      </c>
      <c r="BE100">
        <f t="shared" si="4"/>
        <v>138</v>
      </c>
      <c r="BF100">
        <f t="shared" si="3"/>
        <v>83.5</v>
      </c>
      <c r="BG100" t="s">
        <v>757</v>
      </c>
    </row>
    <row r="101" spans="1:59" x14ac:dyDescent="0.3">
      <c r="A101" t="s">
        <v>610</v>
      </c>
      <c r="B101">
        <v>122942</v>
      </c>
      <c r="C101">
        <v>24274890</v>
      </c>
      <c r="D101" t="s">
        <v>611</v>
      </c>
      <c r="E101" t="s">
        <v>61</v>
      </c>
      <c r="F101" t="s">
        <v>69</v>
      </c>
      <c r="G101">
        <v>10</v>
      </c>
      <c r="H101">
        <v>10</v>
      </c>
      <c r="I101">
        <v>10</v>
      </c>
      <c r="J101" t="s">
        <v>63</v>
      </c>
      <c r="L101" t="s">
        <v>63</v>
      </c>
      <c r="M101" t="s">
        <v>63</v>
      </c>
      <c r="N101" t="s">
        <v>63</v>
      </c>
      <c r="O101" t="s">
        <v>63</v>
      </c>
      <c r="Q101" t="s">
        <v>63</v>
      </c>
      <c r="R101" t="s">
        <v>63</v>
      </c>
      <c r="S101" t="s">
        <v>63</v>
      </c>
      <c r="T101" t="s">
        <v>63</v>
      </c>
      <c r="V101" t="s">
        <v>63</v>
      </c>
      <c r="W101" t="s">
        <v>63</v>
      </c>
      <c r="X101" t="s">
        <v>63</v>
      </c>
      <c r="Y101" t="s">
        <v>63</v>
      </c>
      <c r="AA101" t="s">
        <v>63</v>
      </c>
      <c r="AB101" t="s">
        <v>63</v>
      </c>
      <c r="AC101" t="s">
        <v>63</v>
      </c>
      <c r="AD101" t="s">
        <v>63</v>
      </c>
      <c r="AE101">
        <v>130.5</v>
      </c>
      <c r="AF101">
        <v>10</v>
      </c>
      <c r="AG101">
        <v>100</v>
      </c>
      <c r="AH101">
        <v>100</v>
      </c>
      <c r="AI101">
        <v>100</v>
      </c>
      <c r="AJ101">
        <v>100</v>
      </c>
      <c r="AT101">
        <v>72.5</v>
      </c>
      <c r="AU101">
        <v>0</v>
      </c>
      <c r="AV101">
        <v>72.5</v>
      </c>
      <c r="AY101">
        <v>0</v>
      </c>
      <c r="AZ101">
        <v>0</v>
      </c>
      <c r="BA101">
        <v>100</v>
      </c>
      <c r="BB101">
        <v>81.67</v>
      </c>
      <c r="BC101">
        <v>30</v>
      </c>
      <c r="BD101">
        <v>73.5</v>
      </c>
      <c r="BE101">
        <f t="shared" si="4"/>
        <v>130.5</v>
      </c>
      <c r="BF101">
        <f t="shared" si="3"/>
        <v>83.5</v>
      </c>
      <c r="BG101" t="s">
        <v>757</v>
      </c>
    </row>
    <row r="102" spans="1:59" x14ac:dyDescent="0.3">
      <c r="A102" t="s">
        <v>118</v>
      </c>
      <c r="B102">
        <v>125563</v>
      </c>
      <c r="C102">
        <v>24302294</v>
      </c>
      <c r="D102" t="s">
        <v>119</v>
      </c>
      <c r="E102" t="s">
        <v>61</v>
      </c>
      <c r="F102" t="s">
        <v>77</v>
      </c>
      <c r="G102">
        <v>6.75</v>
      </c>
      <c r="H102">
        <v>9.75</v>
      </c>
      <c r="I102">
        <v>10</v>
      </c>
      <c r="J102" t="s">
        <v>63</v>
      </c>
      <c r="K102" t="s">
        <v>63</v>
      </c>
      <c r="L102" t="s">
        <v>63</v>
      </c>
      <c r="N102" t="s">
        <v>63</v>
      </c>
      <c r="O102" t="s">
        <v>63</v>
      </c>
      <c r="P102" t="s">
        <v>63</v>
      </c>
      <c r="Q102" t="s">
        <v>63</v>
      </c>
      <c r="S102" t="s">
        <v>63</v>
      </c>
      <c r="T102" t="s">
        <v>63</v>
      </c>
      <c r="U102" t="s">
        <v>63</v>
      </c>
      <c r="V102" t="s">
        <v>63</v>
      </c>
      <c r="X102" t="s">
        <v>63</v>
      </c>
      <c r="Y102" t="s">
        <v>63</v>
      </c>
      <c r="Z102" t="s">
        <v>63</v>
      </c>
      <c r="AA102" t="s">
        <v>63</v>
      </c>
      <c r="AC102" t="s">
        <v>63</v>
      </c>
      <c r="AD102" t="s">
        <v>63</v>
      </c>
      <c r="AE102">
        <v>140</v>
      </c>
      <c r="AF102">
        <v>10</v>
      </c>
      <c r="AG102">
        <v>88.33</v>
      </c>
      <c r="AH102">
        <v>88.33</v>
      </c>
      <c r="AI102">
        <v>88.33</v>
      </c>
      <c r="AJ102">
        <v>88.33</v>
      </c>
      <c r="AT102">
        <v>77.78</v>
      </c>
      <c r="AU102">
        <v>0</v>
      </c>
      <c r="AV102">
        <v>77.78</v>
      </c>
      <c r="AY102">
        <v>0</v>
      </c>
      <c r="AZ102">
        <v>0</v>
      </c>
      <c r="BA102">
        <v>88.33</v>
      </c>
      <c r="BB102">
        <v>81.3</v>
      </c>
      <c r="BC102">
        <v>26.5</v>
      </c>
      <c r="BD102">
        <v>73.17</v>
      </c>
      <c r="BE102">
        <f t="shared" si="4"/>
        <v>140</v>
      </c>
      <c r="BF102">
        <f t="shared" si="3"/>
        <v>83.166666666666657</v>
      </c>
      <c r="BG102" t="s">
        <v>757</v>
      </c>
    </row>
    <row r="103" spans="1:59" x14ac:dyDescent="0.3">
      <c r="A103" t="s">
        <v>400</v>
      </c>
      <c r="B103">
        <v>122826</v>
      </c>
      <c r="C103">
        <v>13930383</v>
      </c>
      <c r="D103" t="s">
        <v>401</v>
      </c>
      <c r="E103" t="s">
        <v>61</v>
      </c>
      <c r="F103" t="s">
        <v>72</v>
      </c>
      <c r="G103">
        <v>10</v>
      </c>
      <c r="H103">
        <v>10</v>
      </c>
      <c r="I103">
        <v>10</v>
      </c>
      <c r="J103" t="s">
        <v>63</v>
      </c>
      <c r="K103" t="s">
        <v>63</v>
      </c>
      <c r="M103" t="s">
        <v>63</v>
      </c>
      <c r="N103" t="s">
        <v>63</v>
      </c>
      <c r="O103" t="s">
        <v>63</v>
      </c>
      <c r="P103" t="s">
        <v>63</v>
      </c>
      <c r="R103" t="s">
        <v>63</v>
      </c>
      <c r="S103" t="s">
        <v>63</v>
      </c>
      <c r="T103" t="s">
        <v>63</v>
      </c>
      <c r="U103" t="s">
        <v>63</v>
      </c>
      <c r="W103" t="s">
        <v>63</v>
      </c>
      <c r="X103" t="s">
        <v>63</v>
      </c>
      <c r="Y103" t="s">
        <v>63</v>
      </c>
      <c r="Z103" t="s">
        <v>63</v>
      </c>
      <c r="AB103" t="s">
        <v>63</v>
      </c>
      <c r="AC103" t="s">
        <v>63</v>
      </c>
      <c r="AD103" t="s">
        <v>63</v>
      </c>
      <c r="AE103">
        <v>129.5</v>
      </c>
      <c r="AF103">
        <v>10</v>
      </c>
      <c r="AG103">
        <v>100</v>
      </c>
      <c r="AH103">
        <v>100</v>
      </c>
      <c r="AI103">
        <v>100</v>
      </c>
      <c r="AJ103">
        <v>100</v>
      </c>
      <c r="AT103">
        <v>71.94</v>
      </c>
      <c r="AU103">
        <v>0</v>
      </c>
      <c r="AV103">
        <v>71.94</v>
      </c>
      <c r="AY103">
        <v>0</v>
      </c>
      <c r="AZ103">
        <v>0</v>
      </c>
      <c r="BA103">
        <v>100</v>
      </c>
      <c r="BB103">
        <v>81.3</v>
      </c>
      <c r="BC103">
        <v>30</v>
      </c>
      <c r="BD103">
        <v>73.17</v>
      </c>
      <c r="BE103">
        <f t="shared" si="4"/>
        <v>129.5</v>
      </c>
      <c r="BF103">
        <f t="shared" si="3"/>
        <v>83.166666666666657</v>
      </c>
      <c r="BG103" t="s">
        <v>757</v>
      </c>
    </row>
    <row r="104" spans="1:59" x14ac:dyDescent="0.3">
      <c r="A104" t="s">
        <v>466</v>
      </c>
      <c r="B104">
        <v>126977</v>
      </c>
      <c r="C104">
        <v>24323663</v>
      </c>
      <c r="D104" t="s">
        <v>467</v>
      </c>
      <c r="E104" t="s">
        <v>61</v>
      </c>
      <c r="F104" t="s">
        <v>62</v>
      </c>
      <c r="G104">
        <v>9</v>
      </c>
      <c r="H104">
        <v>10</v>
      </c>
      <c r="I104">
        <v>10</v>
      </c>
      <c r="J104" t="s">
        <v>63</v>
      </c>
      <c r="K104" t="s">
        <v>63</v>
      </c>
      <c r="L104" t="s">
        <v>63</v>
      </c>
      <c r="M104" t="s">
        <v>63</v>
      </c>
      <c r="O104" t="s">
        <v>63</v>
      </c>
      <c r="P104" t="s">
        <v>63</v>
      </c>
      <c r="Q104" t="s">
        <v>63</v>
      </c>
      <c r="R104" t="s">
        <v>63</v>
      </c>
      <c r="T104" t="s">
        <v>63</v>
      </c>
      <c r="U104" t="s">
        <v>63</v>
      </c>
      <c r="V104" t="s">
        <v>63</v>
      </c>
      <c r="W104" t="s">
        <v>63</v>
      </c>
      <c r="Y104" t="s">
        <v>63</v>
      </c>
      <c r="Z104" t="s">
        <v>63</v>
      </c>
      <c r="AA104" t="s">
        <v>63</v>
      </c>
      <c r="AB104" t="s">
        <v>63</v>
      </c>
      <c r="AD104" t="s">
        <v>63</v>
      </c>
      <c r="AE104">
        <v>132</v>
      </c>
      <c r="AF104">
        <v>10</v>
      </c>
      <c r="AG104">
        <v>96.67</v>
      </c>
      <c r="AH104">
        <v>96.67</v>
      </c>
      <c r="AI104">
        <v>96.67</v>
      </c>
      <c r="AJ104">
        <v>96.67</v>
      </c>
      <c r="AT104">
        <v>73.33</v>
      </c>
      <c r="AU104">
        <v>0</v>
      </c>
      <c r="AV104">
        <v>73.33</v>
      </c>
      <c r="AY104">
        <v>0</v>
      </c>
      <c r="AZ104">
        <v>0</v>
      </c>
      <c r="BA104">
        <v>96.67</v>
      </c>
      <c r="BB104">
        <v>81.11</v>
      </c>
      <c r="BC104">
        <v>29</v>
      </c>
      <c r="BD104">
        <v>73</v>
      </c>
      <c r="BE104">
        <f t="shared" si="4"/>
        <v>132</v>
      </c>
      <c r="BF104">
        <f t="shared" si="3"/>
        <v>83</v>
      </c>
      <c r="BG104" t="s">
        <v>757</v>
      </c>
    </row>
    <row r="105" spans="1:59" x14ac:dyDescent="0.3">
      <c r="A105" t="s">
        <v>576</v>
      </c>
      <c r="B105">
        <v>132893</v>
      </c>
      <c r="C105">
        <v>24376720</v>
      </c>
      <c r="D105" t="s">
        <v>577</v>
      </c>
      <c r="E105" t="s">
        <v>61</v>
      </c>
      <c r="F105" t="s">
        <v>72</v>
      </c>
      <c r="G105">
        <v>6.25</v>
      </c>
      <c r="H105">
        <v>9</v>
      </c>
      <c r="I105">
        <v>8.5</v>
      </c>
      <c r="J105" t="s">
        <v>63</v>
      </c>
      <c r="K105" t="s">
        <v>63</v>
      </c>
      <c r="M105" t="s">
        <v>63</v>
      </c>
      <c r="N105" t="s">
        <v>63</v>
      </c>
      <c r="O105" t="s">
        <v>63</v>
      </c>
      <c r="P105" t="s">
        <v>63</v>
      </c>
      <c r="R105" t="s">
        <v>63</v>
      </c>
      <c r="S105" t="s">
        <v>63</v>
      </c>
      <c r="T105" t="s">
        <v>63</v>
      </c>
      <c r="U105" t="s">
        <v>63</v>
      </c>
      <c r="W105" t="s">
        <v>63</v>
      </c>
      <c r="X105" t="s">
        <v>63</v>
      </c>
      <c r="Y105" t="s">
        <v>63</v>
      </c>
      <c r="Z105" t="s">
        <v>63</v>
      </c>
      <c r="AB105" t="s">
        <v>63</v>
      </c>
      <c r="AC105" t="s">
        <v>63</v>
      </c>
      <c r="AD105" t="s">
        <v>63</v>
      </c>
      <c r="AE105">
        <v>147.5</v>
      </c>
      <c r="AF105">
        <v>10</v>
      </c>
      <c r="AG105">
        <v>79.17</v>
      </c>
      <c r="AH105">
        <v>79.17</v>
      </c>
      <c r="AI105">
        <v>79.17</v>
      </c>
      <c r="AJ105">
        <v>79.17</v>
      </c>
      <c r="AT105">
        <v>81.94</v>
      </c>
      <c r="AU105">
        <v>0</v>
      </c>
      <c r="AV105">
        <v>81.94</v>
      </c>
      <c r="AY105">
        <v>0</v>
      </c>
      <c r="AZ105">
        <v>0</v>
      </c>
      <c r="BA105">
        <v>79.17</v>
      </c>
      <c r="BB105">
        <v>81.02</v>
      </c>
      <c r="BC105">
        <v>23.75</v>
      </c>
      <c r="BD105">
        <v>72.92</v>
      </c>
      <c r="BE105">
        <f t="shared" si="4"/>
        <v>147.5</v>
      </c>
      <c r="BF105">
        <f t="shared" si="3"/>
        <v>82.916666666666657</v>
      </c>
      <c r="BG105" t="s">
        <v>757</v>
      </c>
    </row>
    <row r="106" spans="1:59" x14ac:dyDescent="0.3">
      <c r="A106" t="s">
        <v>382</v>
      </c>
      <c r="B106">
        <v>127376</v>
      </c>
      <c r="C106">
        <v>24330055</v>
      </c>
      <c r="D106" t="s">
        <v>383</v>
      </c>
      <c r="E106" t="s">
        <v>61</v>
      </c>
      <c r="F106" t="s">
        <v>66</v>
      </c>
      <c r="G106">
        <v>9</v>
      </c>
      <c r="H106">
        <v>10</v>
      </c>
      <c r="I106">
        <v>10</v>
      </c>
      <c r="K106" t="s">
        <v>63</v>
      </c>
      <c r="L106" t="s">
        <v>63</v>
      </c>
      <c r="M106" t="s">
        <v>63</v>
      </c>
      <c r="N106" t="s">
        <v>63</v>
      </c>
      <c r="P106" t="s">
        <v>63</v>
      </c>
      <c r="Q106" t="s">
        <v>63</v>
      </c>
      <c r="R106" t="s">
        <v>63</v>
      </c>
      <c r="S106" t="s">
        <v>63</v>
      </c>
      <c r="U106" t="s">
        <v>63</v>
      </c>
      <c r="V106" t="s">
        <v>63</v>
      </c>
      <c r="W106" t="s">
        <v>63</v>
      </c>
      <c r="X106" t="s">
        <v>63</v>
      </c>
      <c r="Z106" t="s">
        <v>63</v>
      </c>
      <c r="AA106" t="s">
        <v>63</v>
      </c>
      <c r="AB106" t="s">
        <v>63</v>
      </c>
      <c r="AC106" t="s">
        <v>63</v>
      </c>
      <c r="AD106" t="s">
        <v>63</v>
      </c>
      <c r="AE106">
        <v>131.5</v>
      </c>
      <c r="AF106">
        <v>10</v>
      </c>
      <c r="AG106">
        <v>96.67</v>
      </c>
      <c r="AH106">
        <v>96.67</v>
      </c>
      <c r="AI106">
        <v>96.67</v>
      </c>
      <c r="AJ106">
        <v>96.67</v>
      </c>
      <c r="AT106">
        <v>73.06</v>
      </c>
      <c r="AU106">
        <v>0</v>
      </c>
      <c r="AV106">
        <v>73.06</v>
      </c>
      <c r="AY106">
        <v>0</v>
      </c>
      <c r="AZ106">
        <v>0</v>
      </c>
      <c r="BA106">
        <v>96.67</v>
      </c>
      <c r="BB106">
        <v>80.930000000000007</v>
      </c>
      <c r="BC106">
        <v>29</v>
      </c>
      <c r="BD106">
        <v>72.83</v>
      </c>
      <c r="BE106">
        <f t="shared" si="4"/>
        <v>131.5</v>
      </c>
      <c r="BF106">
        <f t="shared" si="3"/>
        <v>82.833333333333343</v>
      </c>
      <c r="BG106" t="s">
        <v>757</v>
      </c>
    </row>
    <row r="107" spans="1:59" x14ac:dyDescent="0.3">
      <c r="A107" t="s">
        <v>192</v>
      </c>
      <c r="B107">
        <v>130034</v>
      </c>
      <c r="C107">
        <v>24360417</v>
      </c>
      <c r="D107" t="s">
        <v>193</v>
      </c>
      <c r="E107" t="s">
        <v>61</v>
      </c>
      <c r="F107" t="s">
        <v>62</v>
      </c>
      <c r="G107">
        <v>10</v>
      </c>
      <c r="H107">
        <v>10</v>
      </c>
      <c r="I107">
        <v>10</v>
      </c>
      <c r="J107" t="s">
        <v>63</v>
      </c>
      <c r="K107" t="s">
        <v>63</v>
      </c>
      <c r="L107" t="s">
        <v>63</v>
      </c>
      <c r="M107" t="s">
        <v>63</v>
      </c>
      <c r="O107" t="s">
        <v>63</v>
      </c>
      <c r="P107" t="s">
        <v>63</v>
      </c>
      <c r="Q107" t="s">
        <v>63</v>
      </c>
      <c r="R107" t="s">
        <v>63</v>
      </c>
      <c r="T107" t="s">
        <v>63</v>
      </c>
      <c r="U107" t="s">
        <v>63</v>
      </c>
      <c r="V107" t="s">
        <v>63</v>
      </c>
      <c r="W107" t="s">
        <v>63</v>
      </c>
      <c r="Y107" t="s">
        <v>63</v>
      </c>
      <c r="Z107" t="s">
        <v>63</v>
      </c>
      <c r="AA107" t="s">
        <v>63</v>
      </c>
      <c r="AB107" t="s">
        <v>63</v>
      </c>
      <c r="AD107" t="s">
        <v>63</v>
      </c>
      <c r="AE107">
        <v>128</v>
      </c>
      <c r="AF107">
        <v>10</v>
      </c>
      <c r="AG107">
        <v>100</v>
      </c>
      <c r="AH107">
        <v>100</v>
      </c>
      <c r="AI107">
        <v>100</v>
      </c>
      <c r="AJ107">
        <v>100</v>
      </c>
      <c r="AT107">
        <v>71.11</v>
      </c>
      <c r="AU107">
        <v>0</v>
      </c>
      <c r="AV107">
        <v>71.11</v>
      </c>
      <c r="AY107">
        <v>0</v>
      </c>
      <c r="AZ107">
        <v>0</v>
      </c>
      <c r="BA107">
        <v>100</v>
      </c>
      <c r="BB107">
        <v>80.739999999999995</v>
      </c>
      <c r="BC107">
        <v>30</v>
      </c>
      <c r="BD107">
        <v>72.67</v>
      </c>
      <c r="BE107">
        <f t="shared" si="4"/>
        <v>128</v>
      </c>
      <c r="BF107">
        <f t="shared" si="3"/>
        <v>82.666666666666657</v>
      </c>
      <c r="BG107" t="s">
        <v>757</v>
      </c>
    </row>
    <row r="108" spans="1:59" x14ac:dyDescent="0.3">
      <c r="A108" t="s">
        <v>284</v>
      </c>
      <c r="B108">
        <v>127710</v>
      </c>
      <c r="C108">
        <v>24335308</v>
      </c>
      <c r="D108" t="s">
        <v>285</v>
      </c>
      <c r="E108" t="s">
        <v>61</v>
      </c>
      <c r="F108" t="s">
        <v>66</v>
      </c>
      <c r="G108">
        <v>8.75</v>
      </c>
      <c r="H108">
        <v>10</v>
      </c>
      <c r="I108">
        <v>10</v>
      </c>
      <c r="K108" t="s">
        <v>63</v>
      </c>
      <c r="L108" t="s">
        <v>63</v>
      </c>
      <c r="M108" t="s">
        <v>63</v>
      </c>
      <c r="N108" t="s">
        <v>63</v>
      </c>
      <c r="P108" t="s">
        <v>63</v>
      </c>
      <c r="Q108" t="s">
        <v>63</v>
      </c>
      <c r="R108" t="s">
        <v>63</v>
      </c>
      <c r="S108" t="s">
        <v>63</v>
      </c>
      <c r="U108" t="s">
        <v>63</v>
      </c>
      <c r="V108" t="s">
        <v>63</v>
      </c>
      <c r="W108" t="s">
        <v>63</v>
      </c>
      <c r="X108" t="s">
        <v>63</v>
      </c>
      <c r="Z108" t="s">
        <v>63</v>
      </c>
      <c r="AA108" t="s">
        <v>63</v>
      </c>
      <c r="AB108" t="s">
        <v>63</v>
      </c>
      <c r="AC108" t="s">
        <v>63</v>
      </c>
      <c r="AD108" t="s">
        <v>63</v>
      </c>
      <c r="AE108">
        <v>131.5</v>
      </c>
      <c r="AF108">
        <v>10</v>
      </c>
      <c r="AG108">
        <v>95.83</v>
      </c>
      <c r="AH108">
        <v>95.83</v>
      </c>
      <c r="AI108">
        <v>95.83</v>
      </c>
      <c r="AJ108">
        <v>95.83</v>
      </c>
      <c r="AT108">
        <v>73.06</v>
      </c>
      <c r="AU108">
        <v>0</v>
      </c>
      <c r="AV108">
        <v>73.06</v>
      </c>
      <c r="AY108">
        <v>0</v>
      </c>
      <c r="AZ108">
        <v>0</v>
      </c>
      <c r="BA108">
        <v>95.83</v>
      </c>
      <c r="BB108">
        <v>80.650000000000006</v>
      </c>
      <c r="BC108">
        <v>28.75</v>
      </c>
      <c r="BD108">
        <v>72.58</v>
      </c>
      <c r="BE108">
        <f t="shared" si="4"/>
        <v>131.5</v>
      </c>
      <c r="BF108">
        <f t="shared" si="3"/>
        <v>82.583333333333343</v>
      </c>
      <c r="BG108" t="s">
        <v>757</v>
      </c>
    </row>
    <row r="109" spans="1:59" x14ac:dyDescent="0.3">
      <c r="A109" t="s">
        <v>174</v>
      </c>
      <c r="B109">
        <v>131813</v>
      </c>
      <c r="C109">
        <v>24366792</v>
      </c>
      <c r="D109" t="s">
        <v>175</v>
      </c>
      <c r="E109" t="s">
        <v>61</v>
      </c>
      <c r="F109" t="s">
        <v>72</v>
      </c>
      <c r="G109">
        <v>9</v>
      </c>
      <c r="H109">
        <v>10</v>
      </c>
      <c r="I109">
        <v>10</v>
      </c>
      <c r="J109" t="s">
        <v>63</v>
      </c>
      <c r="K109" t="s">
        <v>63</v>
      </c>
      <c r="M109" t="s">
        <v>63</v>
      </c>
      <c r="N109" t="s">
        <v>63</v>
      </c>
      <c r="O109" t="s">
        <v>63</v>
      </c>
      <c r="P109" t="s">
        <v>63</v>
      </c>
      <c r="R109" t="s">
        <v>63</v>
      </c>
      <c r="S109" t="s">
        <v>63</v>
      </c>
      <c r="T109" t="s">
        <v>63</v>
      </c>
      <c r="U109" t="s">
        <v>63</v>
      </c>
      <c r="W109" t="s">
        <v>63</v>
      </c>
      <c r="X109" t="s">
        <v>63</v>
      </c>
      <c r="Y109" t="s">
        <v>63</v>
      </c>
      <c r="Z109" t="s">
        <v>63</v>
      </c>
      <c r="AB109" t="s">
        <v>63</v>
      </c>
      <c r="AC109" t="s">
        <v>63</v>
      </c>
      <c r="AD109" t="s">
        <v>63</v>
      </c>
      <c r="AE109">
        <v>130.5</v>
      </c>
      <c r="AF109">
        <v>10</v>
      </c>
      <c r="AG109">
        <v>96.67</v>
      </c>
      <c r="AH109">
        <v>96.67</v>
      </c>
      <c r="AI109">
        <v>96.67</v>
      </c>
      <c r="AJ109">
        <v>96.67</v>
      </c>
      <c r="AT109">
        <v>72.5</v>
      </c>
      <c r="AU109">
        <v>0</v>
      </c>
      <c r="AV109">
        <v>72.5</v>
      </c>
      <c r="AY109">
        <v>0</v>
      </c>
      <c r="AZ109">
        <v>0</v>
      </c>
      <c r="BA109">
        <v>96.67</v>
      </c>
      <c r="BB109">
        <v>80.56</v>
      </c>
      <c r="BC109">
        <v>29</v>
      </c>
      <c r="BD109">
        <v>72.5</v>
      </c>
      <c r="BE109">
        <f t="shared" si="4"/>
        <v>130.5</v>
      </c>
      <c r="BF109">
        <f t="shared" si="3"/>
        <v>82.5</v>
      </c>
      <c r="BG109" t="s">
        <v>757</v>
      </c>
    </row>
    <row r="110" spans="1:59" x14ac:dyDescent="0.3">
      <c r="A110" t="s">
        <v>744</v>
      </c>
      <c r="B110">
        <v>126109</v>
      </c>
      <c r="C110">
        <v>24312256</v>
      </c>
      <c r="D110" t="s">
        <v>745</v>
      </c>
      <c r="E110" t="s">
        <v>61</v>
      </c>
      <c r="F110" t="s">
        <v>69</v>
      </c>
      <c r="G110">
        <v>6.5</v>
      </c>
      <c r="H110">
        <v>10</v>
      </c>
      <c r="I110">
        <v>10</v>
      </c>
      <c r="J110" t="s">
        <v>63</v>
      </c>
      <c r="L110" t="s">
        <v>63</v>
      </c>
      <c r="M110" t="s">
        <v>63</v>
      </c>
      <c r="N110" t="s">
        <v>63</v>
      </c>
      <c r="O110" t="s">
        <v>63</v>
      </c>
      <c r="Q110" t="s">
        <v>63</v>
      </c>
      <c r="R110" t="s">
        <v>63</v>
      </c>
      <c r="S110" t="s">
        <v>63</v>
      </c>
      <c r="T110" t="s">
        <v>63</v>
      </c>
      <c r="V110" t="s">
        <v>63</v>
      </c>
      <c r="W110" t="s">
        <v>63</v>
      </c>
      <c r="X110" t="s">
        <v>63</v>
      </c>
      <c r="Y110" t="s">
        <v>63</v>
      </c>
      <c r="AA110" t="s">
        <v>63</v>
      </c>
      <c r="AB110" t="s">
        <v>63</v>
      </c>
      <c r="AC110" t="s">
        <v>63</v>
      </c>
      <c r="AD110" t="s">
        <v>63</v>
      </c>
      <c r="AE110">
        <v>138</v>
      </c>
      <c r="AF110">
        <v>10</v>
      </c>
      <c r="AG110">
        <v>88.33</v>
      </c>
      <c r="AH110">
        <v>88.33</v>
      </c>
      <c r="AI110">
        <v>88.33</v>
      </c>
      <c r="AJ110">
        <v>88.33</v>
      </c>
      <c r="AT110">
        <v>76.67</v>
      </c>
      <c r="AU110">
        <v>0</v>
      </c>
      <c r="AV110">
        <v>76.67</v>
      </c>
      <c r="AY110">
        <v>0</v>
      </c>
      <c r="AZ110">
        <v>0</v>
      </c>
      <c r="BA110">
        <v>88.33</v>
      </c>
      <c r="BB110">
        <v>80.56</v>
      </c>
      <c r="BC110">
        <v>26.5</v>
      </c>
      <c r="BD110">
        <v>72.5</v>
      </c>
      <c r="BE110">
        <f t="shared" si="4"/>
        <v>138</v>
      </c>
      <c r="BF110">
        <f t="shared" si="3"/>
        <v>82.5</v>
      </c>
      <c r="BG110" t="s">
        <v>757</v>
      </c>
    </row>
    <row r="111" spans="1:59" x14ac:dyDescent="0.3">
      <c r="A111" t="s">
        <v>296</v>
      </c>
      <c r="B111">
        <v>131319</v>
      </c>
      <c r="C111">
        <v>24362270</v>
      </c>
      <c r="D111" t="s">
        <v>297</v>
      </c>
      <c r="E111" t="s">
        <v>61</v>
      </c>
      <c r="F111" t="s">
        <v>62</v>
      </c>
      <c r="G111">
        <v>7.5</v>
      </c>
      <c r="H111">
        <v>9.5</v>
      </c>
      <c r="I111">
        <v>10</v>
      </c>
      <c r="J111" t="s">
        <v>63</v>
      </c>
      <c r="K111" t="s">
        <v>63</v>
      </c>
      <c r="L111" t="s">
        <v>63</v>
      </c>
      <c r="M111" t="s">
        <v>63</v>
      </c>
      <c r="O111" t="s">
        <v>63</v>
      </c>
      <c r="P111" t="s">
        <v>63</v>
      </c>
      <c r="Q111" t="s">
        <v>63</v>
      </c>
      <c r="R111" t="s">
        <v>63</v>
      </c>
      <c r="T111" t="s">
        <v>63</v>
      </c>
      <c r="U111" t="s">
        <v>63</v>
      </c>
      <c r="V111" t="s">
        <v>63</v>
      </c>
      <c r="W111" t="s">
        <v>63</v>
      </c>
      <c r="Y111" t="s">
        <v>63</v>
      </c>
      <c r="Z111" t="s">
        <v>63</v>
      </c>
      <c r="AA111" t="s">
        <v>63</v>
      </c>
      <c r="AB111" t="s">
        <v>63</v>
      </c>
      <c r="AD111" t="s">
        <v>63</v>
      </c>
      <c r="AE111">
        <v>136</v>
      </c>
      <c r="AF111">
        <v>10</v>
      </c>
      <c r="AG111">
        <v>90</v>
      </c>
      <c r="AH111">
        <v>90</v>
      </c>
      <c r="AI111">
        <v>90</v>
      </c>
      <c r="AJ111">
        <v>90</v>
      </c>
      <c r="AT111">
        <v>75.56</v>
      </c>
      <c r="AU111">
        <v>0</v>
      </c>
      <c r="AV111">
        <v>75.56</v>
      </c>
      <c r="AY111">
        <v>0</v>
      </c>
      <c r="AZ111">
        <v>0</v>
      </c>
      <c r="BA111">
        <v>90</v>
      </c>
      <c r="BB111">
        <v>80.37</v>
      </c>
      <c r="BC111">
        <v>27</v>
      </c>
      <c r="BD111">
        <v>72.33</v>
      </c>
      <c r="BE111">
        <f t="shared" si="4"/>
        <v>136</v>
      </c>
      <c r="BF111">
        <f t="shared" si="3"/>
        <v>82.333333333333343</v>
      </c>
      <c r="BG111" t="s">
        <v>757</v>
      </c>
    </row>
    <row r="112" spans="1:59" x14ac:dyDescent="0.3">
      <c r="A112" t="s">
        <v>402</v>
      </c>
      <c r="B112">
        <v>127707</v>
      </c>
      <c r="C112">
        <v>24335461</v>
      </c>
      <c r="D112" t="s">
        <v>403</v>
      </c>
      <c r="E112" t="s">
        <v>61</v>
      </c>
      <c r="F112" t="s">
        <v>77</v>
      </c>
      <c r="G112">
        <v>9</v>
      </c>
      <c r="H112">
        <v>8</v>
      </c>
      <c r="I112">
        <v>10</v>
      </c>
      <c r="J112" t="s">
        <v>63</v>
      </c>
      <c r="K112" t="s">
        <v>63</v>
      </c>
      <c r="L112" t="s">
        <v>63</v>
      </c>
      <c r="N112" t="s">
        <v>63</v>
      </c>
      <c r="O112" t="s">
        <v>63</v>
      </c>
      <c r="P112" t="s">
        <v>63</v>
      </c>
      <c r="Q112" t="s">
        <v>63</v>
      </c>
      <c r="S112" t="s">
        <v>63</v>
      </c>
      <c r="T112" t="s">
        <v>63</v>
      </c>
      <c r="U112" t="s">
        <v>63</v>
      </c>
      <c r="V112" t="s">
        <v>63</v>
      </c>
      <c r="X112" t="s">
        <v>63</v>
      </c>
      <c r="Y112" t="s">
        <v>63</v>
      </c>
      <c r="Z112" t="s">
        <v>63</v>
      </c>
      <c r="AA112" t="s">
        <v>63</v>
      </c>
      <c r="AC112" t="s">
        <v>63</v>
      </c>
      <c r="AD112" t="s">
        <v>63</v>
      </c>
      <c r="AE112">
        <v>136</v>
      </c>
      <c r="AF112">
        <v>10</v>
      </c>
      <c r="AG112">
        <v>90</v>
      </c>
      <c r="AH112">
        <v>90</v>
      </c>
      <c r="AI112">
        <v>90</v>
      </c>
      <c r="AJ112">
        <v>90</v>
      </c>
      <c r="AT112">
        <v>75.56</v>
      </c>
      <c r="AU112">
        <v>0</v>
      </c>
      <c r="AV112">
        <v>75.56</v>
      </c>
      <c r="AY112">
        <v>0</v>
      </c>
      <c r="AZ112">
        <v>0</v>
      </c>
      <c r="BA112">
        <v>90</v>
      </c>
      <c r="BB112">
        <v>80.37</v>
      </c>
      <c r="BC112">
        <v>27</v>
      </c>
      <c r="BD112">
        <v>72.33</v>
      </c>
      <c r="BE112">
        <f t="shared" si="4"/>
        <v>136</v>
      </c>
      <c r="BF112">
        <f t="shared" si="3"/>
        <v>82.333333333333343</v>
      </c>
      <c r="BG112" t="s">
        <v>757</v>
      </c>
    </row>
    <row r="113" spans="1:59" x14ac:dyDescent="0.3">
      <c r="A113" t="s">
        <v>500</v>
      </c>
      <c r="B113">
        <v>64400</v>
      </c>
      <c r="C113">
        <v>17316591</v>
      </c>
      <c r="D113" t="s">
        <v>501</v>
      </c>
      <c r="E113" t="s">
        <v>61</v>
      </c>
      <c r="F113" t="s">
        <v>72</v>
      </c>
      <c r="G113">
        <v>8</v>
      </c>
      <c r="H113">
        <v>10</v>
      </c>
      <c r="I113">
        <v>10</v>
      </c>
      <c r="J113" t="s">
        <v>63</v>
      </c>
      <c r="K113" t="s">
        <v>63</v>
      </c>
      <c r="M113" t="s">
        <v>63</v>
      </c>
      <c r="N113" t="s">
        <v>63</v>
      </c>
      <c r="O113" t="s">
        <v>63</v>
      </c>
      <c r="P113" t="s">
        <v>63</v>
      </c>
      <c r="R113" t="s">
        <v>63</v>
      </c>
      <c r="S113" t="s">
        <v>63</v>
      </c>
      <c r="T113" t="s">
        <v>63</v>
      </c>
      <c r="U113" t="s">
        <v>63</v>
      </c>
      <c r="W113" t="s">
        <v>63</v>
      </c>
      <c r="X113" t="s">
        <v>63</v>
      </c>
      <c r="Y113" t="s">
        <v>63</v>
      </c>
      <c r="Z113" t="s">
        <v>63</v>
      </c>
      <c r="AB113" t="s">
        <v>63</v>
      </c>
      <c r="AC113" t="s">
        <v>63</v>
      </c>
      <c r="AD113" t="s">
        <v>63</v>
      </c>
      <c r="AE113">
        <v>133</v>
      </c>
      <c r="AF113">
        <v>10</v>
      </c>
      <c r="AG113">
        <v>93.33</v>
      </c>
      <c r="AH113">
        <v>93.33</v>
      </c>
      <c r="AI113">
        <v>93.33</v>
      </c>
      <c r="AJ113">
        <v>93.33</v>
      </c>
      <c r="AT113">
        <v>73.89</v>
      </c>
      <c r="AU113">
        <v>0</v>
      </c>
      <c r="AV113">
        <v>73.89</v>
      </c>
      <c r="AY113">
        <v>0</v>
      </c>
      <c r="AZ113">
        <v>0</v>
      </c>
      <c r="BA113">
        <v>93.33</v>
      </c>
      <c r="BB113">
        <v>80.37</v>
      </c>
      <c r="BC113">
        <v>28</v>
      </c>
      <c r="BD113">
        <v>72.33</v>
      </c>
      <c r="BE113">
        <f t="shared" si="4"/>
        <v>133</v>
      </c>
      <c r="BF113">
        <f t="shared" si="3"/>
        <v>82.333333333333343</v>
      </c>
      <c r="BG113" t="s">
        <v>757</v>
      </c>
    </row>
    <row r="114" spans="1:59" x14ac:dyDescent="0.3">
      <c r="A114" t="s">
        <v>684</v>
      </c>
      <c r="B114">
        <v>133314</v>
      </c>
      <c r="C114">
        <v>24380511</v>
      </c>
      <c r="D114" t="s">
        <v>685</v>
      </c>
      <c r="E114" t="s">
        <v>61</v>
      </c>
      <c r="F114" t="s">
        <v>72</v>
      </c>
      <c r="G114">
        <v>8</v>
      </c>
      <c r="H114">
        <v>10</v>
      </c>
      <c r="I114">
        <v>10</v>
      </c>
      <c r="J114" t="s">
        <v>63</v>
      </c>
      <c r="K114" t="s">
        <v>63</v>
      </c>
      <c r="M114" t="s">
        <v>63</v>
      </c>
      <c r="N114" t="s">
        <v>63</v>
      </c>
      <c r="O114" t="s">
        <v>63</v>
      </c>
      <c r="P114" t="s">
        <v>63</v>
      </c>
      <c r="R114" t="s">
        <v>63</v>
      </c>
      <c r="S114" t="s">
        <v>63</v>
      </c>
      <c r="T114" t="s">
        <v>63</v>
      </c>
      <c r="U114" t="s">
        <v>63</v>
      </c>
      <c r="W114" t="s">
        <v>63</v>
      </c>
      <c r="X114" t="s">
        <v>63</v>
      </c>
      <c r="Y114" t="s">
        <v>63</v>
      </c>
      <c r="Z114" t="s">
        <v>63</v>
      </c>
      <c r="AB114" t="s">
        <v>63</v>
      </c>
      <c r="AC114" t="s">
        <v>63</v>
      </c>
      <c r="AD114" t="s">
        <v>63</v>
      </c>
      <c r="AE114">
        <v>133</v>
      </c>
      <c r="AF114">
        <v>10</v>
      </c>
      <c r="AG114">
        <v>93.33</v>
      </c>
      <c r="AH114">
        <v>93.33</v>
      </c>
      <c r="AI114">
        <v>93.33</v>
      </c>
      <c r="AJ114">
        <v>93.33</v>
      </c>
      <c r="AT114">
        <v>73.89</v>
      </c>
      <c r="AU114">
        <v>0</v>
      </c>
      <c r="AV114">
        <v>73.89</v>
      </c>
      <c r="AY114">
        <v>0</v>
      </c>
      <c r="AZ114">
        <v>0</v>
      </c>
      <c r="BA114">
        <v>93.33</v>
      </c>
      <c r="BB114">
        <v>80.37</v>
      </c>
      <c r="BC114">
        <v>28</v>
      </c>
      <c r="BD114">
        <v>72.33</v>
      </c>
      <c r="BE114">
        <f t="shared" si="4"/>
        <v>133</v>
      </c>
      <c r="BF114">
        <f t="shared" si="3"/>
        <v>82.333333333333343</v>
      </c>
      <c r="BG114" t="s">
        <v>757</v>
      </c>
    </row>
    <row r="115" spans="1:59" x14ac:dyDescent="0.3">
      <c r="A115" t="s">
        <v>344</v>
      </c>
      <c r="B115">
        <v>127824</v>
      </c>
      <c r="C115">
        <v>24336549</v>
      </c>
      <c r="D115" t="s">
        <v>345</v>
      </c>
      <c r="E115" t="s">
        <v>61</v>
      </c>
      <c r="F115" t="s">
        <v>66</v>
      </c>
      <c r="G115">
        <v>8</v>
      </c>
      <c r="H115">
        <v>10</v>
      </c>
      <c r="I115">
        <v>10</v>
      </c>
      <c r="K115" t="s">
        <v>63</v>
      </c>
      <c r="L115" t="s">
        <v>63</v>
      </c>
      <c r="M115" t="s">
        <v>63</v>
      </c>
      <c r="N115" t="s">
        <v>63</v>
      </c>
      <c r="P115" t="s">
        <v>63</v>
      </c>
      <c r="Q115" t="s">
        <v>63</v>
      </c>
      <c r="R115" t="s">
        <v>63</v>
      </c>
      <c r="S115" t="s">
        <v>63</v>
      </c>
      <c r="U115" t="s">
        <v>63</v>
      </c>
      <c r="V115" t="s">
        <v>63</v>
      </c>
      <c r="W115" t="s">
        <v>63</v>
      </c>
      <c r="X115" t="s">
        <v>63</v>
      </c>
      <c r="Z115" t="s">
        <v>63</v>
      </c>
      <c r="AA115" t="s">
        <v>63</v>
      </c>
      <c r="AB115" t="s">
        <v>63</v>
      </c>
      <c r="AC115" t="s">
        <v>63</v>
      </c>
      <c r="AD115" t="s">
        <v>63</v>
      </c>
      <c r="AE115">
        <v>132.5</v>
      </c>
      <c r="AF115">
        <v>10</v>
      </c>
      <c r="AG115">
        <v>93.33</v>
      </c>
      <c r="AH115">
        <v>93.33</v>
      </c>
      <c r="AI115">
        <v>93.33</v>
      </c>
      <c r="AJ115">
        <v>93.33</v>
      </c>
      <c r="AT115">
        <v>73.61</v>
      </c>
      <c r="AU115">
        <v>0</v>
      </c>
      <c r="AV115">
        <v>73.61</v>
      </c>
      <c r="AY115">
        <v>0</v>
      </c>
      <c r="AZ115">
        <v>0</v>
      </c>
      <c r="BA115">
        <v>93.33</v>
      </c>
      <c r="BB115">
        <v>80.19</v>
      </c>
      <c r="BC115">
        <v>28</v>
      </c>
      <c r="BD115">
        <v>72.17</v>
      </c>
      <c r="BE115">
        <f t="shared" si="4"/>
        <v>132.5</v>
      </c>
      <c r="BF115">
        <f t="shared" si="3"/>
        <v>82.166666666666657</v>
      </c>
      <c r="BG115" t="s">
        <v>757</v>
      </c>
    </row>
    <row r="116" spans="1:59" x14ac:dyDescent="0.3">
      <c r="A116" t="s">
        <v>718</v>
      </c>
      <c r="B116">
        <v>131326</v>
      </c>
      <c r="C116">
        <v>24361760</v>
      </c>
      <c r="D116" t="s">
        <v>719</v>
      </c>
      <c r="E116" t="s">
        <v>61</v>
      </c>
      <c r="F116" t="s">
        <v>62</v>
      </c>
      <c r="G116">
        <v>6.25</v>
      </c>
      <c r="H116">
        <v>10</v>
      </c>
      <c r="I116">
        <v>9.5</v>
      </c>
      <c r="J116" t="s">
        <v>63</v>
      </c>
      <c r="K116" t="s">
        <v>63</v>
      </c>
      <c r="L116" t="s">
        <v>63</v>
      </c>
      <c r="M116" t="s">
        <v>63</v>
      </c>
      <c r="O116" t="s">
        <v>63</v>
      </c>
      <c r="P116" t="s">
        <v>63</v>
      </c>
      <c r="Q116" t="s">
        <v>63</v>
      </c>
      <c r="R116" t="s">
        <v>63</v>
      </c>
      <c r="T116" t="s">
        <v>63</v>
      </c>
      <c r="U116" t="s">
        <v>63</v>
      </c>
      <c r="V116" t="s">
        <v>63</v>
      </c>
      <c r="W116" t="s">
        <v>63</v>
      </c>
      <c r="Y116" t="s">
        <v>63</v>
      </c>
      <c r="Z116" t="s">
        <v>63</v>
      </c>
      <c r="AA116" t="s">
        <v>63</v>
      </c>
      <c r="AB116" t="s">
        <v>63</v>
      </c>
      <c r="AD116" t="s">
        <v>63</v>
      </c>
      <c r="AE116">
        <v>139</v>
      </c>
      <c r="AF116">
        <v>10</v>
      </c>
      <c r="AG116">
        <v>85.83</v>
      </c>
      <c r="AH116">
        <v>85.83</v>
      </c>
      <c r="AI116">
        <v>85.83</v>
      </c>
      <c r="AJ116">
        <v>85.83</v>
      </c>
      <c r="AT116">
        <v>77.22</v>
      </c>
      <c r="AU116">
        <v>0</v>
      </c>
      <c r="AV116">
        <v>77.22</v>
      </c>
      <c r="AY116">
        <v>0</v>
      </c>
      <c r="AZ116">
        <v>0</v>
      </c>
      <c r="BA116">
        <v>85.83</v>
      </c>
      <c r="BB116">
        <v>80.09</v>
      </c>
      <c r="BC116">
        <v>25.75</v>
      </c>
      <c r="BD116">
        <v>72.08</v>
      </c>
      <c r="BE116">
        <f t="shared" si="4"/>
        <v>139</v>
      </c>
      <c r="BF116">
        <f t="shared" si="3"/>
        <v>82.083333333333343</v>
      </c>
      <c r="BG116" t="s">
        <v>757</v>
      </c>
    </row>
    <row r="117" spans="1:59" x14ac:dyDescent="0.3">
      <c r="A117" t="s">
        <v>180</v>
      </c>
      <c r="B117">
        <v>128515</v>
      </c>
      <c r="C117">
        <v>24345406</v>
      </c>
      <c r="D117" t="s">
        <v>181</v>
      </c>
      <c r="E117" t="s">
        <v>61</v>
      </c>
      <c r="F117" t="s">
        <v>62</v>
      </c>
      <c r="G117">
        <v>8.5</v>
      </c>
      <c r="H117">
        <v>10</v>
      </c>
      <c r="I117">
        <v>10</v>
      </c>
      <c r="J117" t="s">
        <v>63</v>
      </c>
      <c r="K117" t="s">
        <v>63</v>
      </c>
      <c r="L117" t="s">
        <v>63</v>
      </c>
      <c r="M117" t="s">
        <v>63</v>
      </c>
      <c r="O117" t="s">
        <v>63</v>
      </c>
      <c r="P117" t="s">
        <v>63</v>
      </c>
      <c r="Q117" t="s">
        <v>63</v>
      </c>
      <c r="R117" t="s">
        <v>63</v>
      </c>
      <c r="T117" t="s">
        <v>63</v>
      </c>
      <c r="U117" t="s">
        <v>63</v>
      </c>
      <c r="V117" t="s">
        <v>63</v>
      </c>
      <c r="W117" t="s">
        <v>63</v>
      </c>
      <c r="Y117" t="s">
        <v>63</v>
      </c>
      <c r="Z117" t="s">
        <v>63</v>
      </c>
      <c r="AA117" t="s">
        <v>63</v>
      </c>
      <c r="AB117" t="s">
        <v>63</v>
      </c>
      <c r="AD117" t="s">
        <v>63</v>
      </c>
      <c r="AE117">
        <v>130.5</v>
      </c>
      <c r="AF117">
        <v>10</v>
      </c>
      <c r="AG117">
        <v>95</v>
      </c>
      <c r="AH117">
        <v>95</v>
      </c>
      <c r="AI117">
        <v>95</v>
      </c>
      <c r="AJ117">
        <v>95</v>
      </c>
      <c r="AT117">
        <v>72.5</v>
      </c>
      <c r="AU117">
        <v>0</v>
      </c>
      <c r="AV117">
        <v>72.5</v>
      </c>
      <c r="AY117">
        <v>0</v>
      </c>
      <c r="AZ117">
        <v>0</v>
      </c>
      <c r="BA117">
        <v>95</v>
      </c>
      <c r="BB117">
        <v>80</v>
      </c>
      <c r="BC117">
        <v>28.5</v>
      </c>
      <c r="BD117">
        <v>72</v>
      </c>
      <c r="BE117">
        <f t="shared" si="4"/>
        <v>130.5</v>
      </c>
      <c r="BF117">
        <f t="shared" si="3"/>
        <v>82</v>
      </c>
      <c r="BG117" t="s">
        <v>757</v>
      </c>
    </row>
    <row r="118" spans="1:59" x14ac:dyDescent="0.3">
      <c r="A118" t="s">
        <v>434</v>
      </c>
      <c r="B118">
        <v>128232</v>
      </c>
      <c r="C118">
        <v>24342414</v>
      </c>
      <c r="D118" t="s">
        <v>435</v>
      </c>
      <c r="E118" t="s">
        <v>61</v>
      </c>
      <c r="F118" t="s">
        <v>72</v>
      </c>
      <c r="G118">
        <v>9</v>
      </c>
      <c r="H118">
        <v>10</v>
      </c>
      <c r="I118">
        <v>9</v>
      </c>
      <c r="J118" t="s">
        <v>63</v>
      </c>
      <c r="K118" t="s">
        <v>63</v>
      </c>
      <c r="M118" t="s">
        <v>63</v>
      </c>
      <c r="N118" t="s">
        <v>63</v>
      </c>
      <c r="O118" t="s">
        <v>63</v>
      </c>
      <c r="P118" t="s">
        <v>63</v>
      </c>
      <c r="R118" t="s">
        <v>63</v>
      </c>
      <c r="S118" t="s">
        <v>63</v>
      </c>
      <c r="T118" t="s">
        <v>63</v>
      </c>
      <c r="U118" t="s">
        <v>63</v>
      </c>
      <c r="W118" t="s">
        <v>63</v>
      </c>
      <c r="X118" t="s">
        <v>63</v>
      </c>
      <c r="Y118" t="s">
        <v>63</v>
      </c>
      <c r="Z118" t="s">
        <v>63</v>
      </c>
      <c r="AB118" t="s">
        <v>63</v>
      </c>
      <c r="AC118" t="s">
        <v>63</v>
      </c>
      <c r="AD118" t="s">
        <v>63</v>
      </c>
      <c r="AE118">
        <v>132</v>
      </c>
      <c r="AF118">
        <v>10</v>
      </c>
      <c r="AG118">
        <v>93.33</v>
      </c>
      <c r="AH118">
        <v>93.33</v>
      </c>
      <c r="AI118">
        <v>93.33</v>
      </c>
      <c r="AJ118">
        <v>93.33</v>
      </c>
      <c r="AT118">
        <v>73.33</v>
      </c>
      <c r="AU118">
        <v>0</v>
      </c>
      <c r="AV118">
        <v>73.33</v>
      </c>
      <c r="AY118">
        <v>0</v>
      </c>
      <c r="AZ118">
        <v>0</v>
      </c>
      <c r="BA118">
        <v>93.33</v>
      </c>
      <c r="BB118">
        <v>80</v>
      </c>
      <c r="BC118">
        <v>28</v>
      </c>
      <c r="BD118">
        <v>72</v>
      </c>
      <c r="BE118">
        <f t="shared" si="4"/>
        <v>132</v>
      </c>
      <c r="BF118">
        <f t="shared" si="3"/>
        <v>82</v>
      </c>
      <c r="BG118" t="s">
        <v>757</v>
      </c>
    </row>
    <row r="119" spans="1:59" x14ac:dyDescent="0.3">
      <c r="A119" t="s">
        <v>498</v>
      </c>
      <c r="B119">
        <v>123336</v>
      </c>
      <c r="C119">
        <v>24275094</v>
      </c>
      <c r="D119" t="s">
        <v>499</v>
      </c>
      <c r="E119" t="s">
        <v>61</v>
      </c>
      <c r="F119" t="s">
        <v>66</v>
      </c>
      <c r="G119">
        <v>9</v>
      </c>
      <c r="H119">
        <v>10</v>
      </c>
      <c r="I119">
        <v>9.5</v>
      </c>
      <c r="K119" t="s">
        <v>63</v>
      </c>
      <c r="L119" t="s">
        <v>63</v>
      </c>
      <c r="M119" t="s">
        <v>63</v>
      </c>
      <c r="N119" t="s">
        <v>63</v>
      </c>
      <c r="P119" t="s">
        <v>63</v>
      </c>
      <c r="Q119" t="s">
        <v>63</v>
      </c>
      <c r="R119" t="s">
        <v>63</v>
      </c>
      <c r="S119" t="s">
        <v>63</v>
      </c>
      <c r="U119" t="s">
        <v>63</v>
      </c>
      <c r="V119" t="s">
        <v>63</v>
      </c>
      <c r="W119" t="s">
        <v>63</v>
      </c>
      <c r="X119" t="s">
        <v>63</v>
      </c>
      <c r="Z119" t="s">
        <v>63</v>
      </c>
      <c r="AA119" t="s">
        <v>63</v>
      </c>
      <c r="AB119" t="s">
        <v>63</v>
      </c>
      <c r="AC119" t="s">
        <v>63</v>
      </c>
      <c r="AD119" t="s">
        <v>63</v>
      </c>
      <c r="AE119">
        <v>130.5</v>
      </c>
      <c r="AF119">
        <v>10</v>
      </c>
      <c r="AG119">
        <v>95</v>
      </c>
      <c r="AH119">
        <v>95</v>
      </c>
      <c r="AI119">
        <v>95</v>
      </c>
      <c r="AJ119">
        <v>95</v>
      </c>
      <c r="AT119">
        <v>72.5</v>
      </c>
      <c r="AU119">
        <v>0</v>
      </c>
      <c r="AV119">
        <v>72.5</v>
      </c>
      <c r="AY119">
        <v>0</v>
      </c>
      <c r="AZ119">
        <v>0</v>
      </c>
      <c r="BA119">
        <v>95</v>
      </c>
      <c r="BB119">
        <v>80</v>
      </c>
      <c r="BC119">
        <v>28.5</v>
      </c>
      <c r="BD119">
        <v>72</v>
      </c>
      <c r="BE119">
        <f t="shared" si="4"/>
        <v>130.5</v>
      </c>
      <c r="BF119">
        <f t="shared" si="3"/>
        <v>82</v>
      </c>
      <c r="BG119" t="s">
        <v>757</v>
      </c>
    </row>
    <row r="120" spans="1:59" x14ac:dyDescent="0.3">
      <c r="A120" t="s">
        <v>122</v>
      </c>
      <c r="B120">
        <v>123458</v>
      </c>
      <c r="C120">
        <v>24275179</v>
      </c>
      <c r="D120" t="s">
        <v>123</v>
      </c>
      <c r="E120" t="s">
        <v>61</v>
      </c>
      <c r="F120" t="s">
        <v>72</v>
      </c>
      <c r="G120">
        <v>7.5</v>
      </c>
      <c r="H120">
        <v>9.25</v>
      </c>
      <c r="I120">
        <v>10</v>
      </c>
      <c r="J120" t="s">
        <v>63</v>
      </c>
      <c r="K120" t="s">
        <v>63</v>
      </c>
      <c r="M120" t="s">
        <v>63</v>
      </c>
      <c r="N120" t="s">
        <v>63</v>
      </c>
      <c r="O120" t="s">
        <v>63</v>
      </c>
      <c r="P120" t="s">
        <v>63</v>
      </c>
      <c r="R120" t="s">
        <v>63</v>
      </c>
      <c r="S120" t="s">
        <v>63</v>
      </c>
      <c r="T120" t="s">
        <v>63</v>
      </c>
      <c r="U120" t="s">
        <v>63</v>
      </c>
      <c r="W120" t="s">
        <v>63</v>
      </c>
      <c r="X120" t="s">
        <v>63</v>
      </c>
      <c r="Y120" t="s">
        <v>63</v>
      </c>
      <c r="Z120" t="s">
        <v>63</v>
      </c>
      <c r="AB120" t="s">
        <v>63</v>
      </c>
      <c r="AC120" t="s">
        <v>63</v>
      </c>
      <c r="AD120" t="s">
        <v>63</v>
      </c>
      <c r="AE120">
        <v>135</v>
      </c>
      <c r="AF120">
        <v>10</v>
      </c>
      <c r="AG120">
        <v>89.17</v>
      </c>
      <c r="AH120">
        <v>89.17</v>
      </c>
      <c r="AI120">
        <v>89.17</v>
      </c>
      <c r="AJ120">
        <v>89.17</v>
      </c>
      <c r="AT120">
        <v>75</v>
      </c>
      <c r="AU120">
        <v>0</v>
      </c>
      <c r="AV120">
        <v>75</v>
      </c>
      <c r="AY120">
        <v>0</v>
      </c>
      <c r="AZ120">
        <v>0</v>
      </c>
      <c r="BA120">
        <v>89.17</v>
      </c>
      <c r="BB120">
        <v>79.72</v>
      </c>
      <c r="BC120">
        <v>26.75</v>
      </c>
      <c r="BD120">
        <v>71.75</v>
      </c>
      <c r="BE120">
        <f t="shared" si="4"/>
        <v>135</v>
      </c>
      <c r="BF120">
        <f t="shared" si="3"/>
        <v>81.75</v>
      </c>
      <c r="BG120" t="s">
        <v>757</v>
      </c>
    </row>
    <row r="121" spans="1:59" x14ac:dyDescent="0.3">
      <c r="A121" t="s">
        <v>356</v>
      </c>
      <c r="B121">
        <v>128240</v>
      </c>
      <c r="C121">
        <v>24342703</v>
      </c>
      <c r="D121" t="s">
        <v>357</v>
      </c>
      <c r="E121" t="s">
        <v>61</v>
      </c>
      <c r="F121" t="s">
        <v>69</v>
      </c>
      <c r="G121">
        <v>7.5</v>
      </c>
      <c r="H121">
        <v>10</v>
      </c>
      <c r="I121">
        <v>9.5</v>
      </c>
      <c r="J121" t="s">
        <v>63</v>
      </c>
      <c r="L121" t="s">
        <v>63</v>
      </c>
      <c r="M121" t="s">
        <v>63</v>
      </c>
      <c r="N121" t="s">
        <v>63</v>
      </c>
      <c r="O121" t="s">
        <v>63</v>
      </c>
      <c r="Q121" t="s">
        <v>63</v>
      </c>
      <c r="R121" t="s">
        <v>63</v>
      </c>
      <c r="S121" t="s">
        <v>63</v>
      </c>
      <c r="T121" t="s">
        <v>63</v>
      </c>
      <c r="V121" t="s">
        <v>63</v>
      </c>
      <c r="W121" t="s">
        <v>63</v>
      </c>
      <c r="X121" t="s">
        <v>63</v>
      </c>
      <c r="Y121" t="s">
        <v>63</v>
      </c>
      <c r="AA121" t="s">
        <v>63</v>
      </c>
      <c r="AB121" t="s">
        <v>63</v>
      </c>
      <c r="AC121" t="s">
        <v>63</v>
      </c>
      <c r="AD121" t="s">
        <v>63</v>
      </c>
      <c r="AE121">
        <v>134</v>
      </c>
      <c r="AF121">
        <v>10</v>
      </c>
      <c r="AG121">
        <v>90</v>
      </c>
      <c r="AH121">
        <v>90</v>
      </c>
      <c r="AI121">
        <v>90</v>
      </c>
      <c r="AJ121">
        <v>90</v>
      </c>
      <c r="AT121">
        <v>74.44</v>
      </c>
      <c r="AU121">
        <v>0</v>
      </c>
      <c r="AV121">
        <v>74.44</v>
      </c>
      <c r="AY121">
        <v>0</v>
      </c>
      <c r="AZ121">
        <v>0</v>
      </c>
      <c r="BA121">
        <v>90</v>
      </c>
      <c r="BB121">
        <v>79.63</v>
      </c>
      <c r="BC121">
        <v>27</v>
      </c>
      <c r="BD121">
        <v>71.67</v>
      </c>
      <c r="BE121">
        <f t="shared" si="4"/>
        <v>134</v>
      </c>
      <c r="BF121">
        <f t="shared" si="3"/>
        <v>81.666666666666657</v>
      </c>
      <c r="BG121" t="s">
        <v>757</v>
      </c>
    </row>
    <row r="122" spans="1:59" x14ac:dyDescent="0.3">
      <c r="A122" t="s">
        <v>506</v>
      </c>
      <c r="B122">
        <v>126390</v>
      </c>
      <c r="C122">
        <v>24314908</v>
      </c>
      <c r="D122" t="s">
        <v>507</v>
      </c>
      <c r="E122" t="s">
        <v>61</v>
      </c>
      <c r="F122" t="s">
        <v>66</v>
      </c>
      <c r="G122">
        <v>9.5</v>
      </c>
      <c r="H122">
        <v>10</v>
      </c>
      <c r="I122">
        <v>9.5</v>
      </c>
      <c r="K122" t="s">
        <v>63</v>
      </c>
      <c r="L122" t="s">
        <v>63</v>
      </c>
      <c r="M122" t="s">
        <v>63</v>
      </c>
      <c r="N122" t="s">
        <v>63</v>
      </c>
      <c r="P122" t="s">
        <v>63</v>
      </c>
      <c r="Q122" t="s">
        <v>63</v>
      </c>
      <c r="R122" t="s">
        <v>63</v>
      </c>
      <c r="S122" t="s">
        <v>63</v>
      </c>
      <c r="U122" t="s">
        <v>63</v>
      </c>
      <c r="V122" t="s">
        <v>63</v>
      </c>
      <c r="W122" t="s">
        <v>63</v>
      </c>
      <c r="X122" t="s">
        <v>63</v>
      </c>
      <c r="Z122" t="s">
        <v>63</v>
      </c>
      <c r="AA122" t="s">
        <v>63</v>
      </c>
      <c r="AB122" t="s">
        <v>63</v>
      </c>
      <c r="AC122" t="s">
        <v>63</v>
      </c>
      <c r="AD122" t="s">
        <v>63</v>
      </c>
      <c r="AE122">
        <v>128</v>
      </c>
      <c r="AF122">
        <v>10</v>
      </c>
      <c r="AG122">
        <v>96.67</v>
      </c>
      <c r="AH122">
        <v>96.67</v>
      </c>
      <c r="AI122">
        <v>96.67</v>
      </c>
      <c r="AJ122">
        <v>96.67</v>
      </c>
      <c r="AT122">
        <v>71.11</v>
      </c>
      <c r="AU122">
        <v>0</v>
      </c>
      <c r="AV122">
        <v>71.11</v>
      </c>
      <c r="AY122">
        <v>0</v>
      </c>
      <c r="AZ122">
        <v>0</v>
      </c>
      <c r="BA122">
        <v>96.67</v>
      </c>
      <c r="BB122">
        <v>79.63</v>
      </c>
      <c r="BC122">
        <v>29</v>
      </c>
      <c r="BD122">
        <v>71.67</v>
      </c>
      <c r="BE122">
        <f t="shared" si="4"/>
        <v>128</v>
      </c>
      <c r="BF122">
        <f t="shared" si="3"/>
        <v>81.666666666666657</v>
      </c>
      <c r="BG122" t="s">
        <v>757</v>
      </c>
    </row>
    <row r="123" spans="1:59" x14ac:dyDescent="0.3">
      <c r="A123" t="s">
        <v>662</v>
      </c>
      <c r="B123">
        <v>127353</v>
      </c>
      <c r="C123">
        <v>24329817</v>
      </c>
      <c r="D123" t="s">
        <v>663</v>
      </c>
      <c r="E123" t="s">
        <v>61</v>
      </c>
      <c r="F123" t="s">
        <v>77</v>
      </c>
      <c r="G123">
        <v>8</v>
      </c>
      <c r="H123">
        <v>10</v>
      </c>
      <c r="I123">
        <v>10</v>
      </c>
      <c r="J123" t="s">
        <v>63</v>
      </c>
      <c r="K123" t="s">
        <v>63</v>
      </c>
      <c r="L123" t="s">
        <v>63</v>
      </c>
      <c r="N123" t="s">
        <v>63</v>
      </c>
      <c r="O123" t="s">
        <v>63</v>
      </c>
      <c r="P123" t="s">
        <v>63</v>
      </c>
      <c r="Q123" t="s">
        <v>63</v>
      </c>
      <c r="S123" t="s">
        <v>63</v>
      </c>
      <c r="T123" t="s">
        <v>63</v>
      </c>
      <c r="U123" t="s">
        <v>63</v>
      </c>
      <c r="V123" t="s">
        <v>63</v>
      </c>
      <c r="X123" t="s">
        <v>63</v>
      </c>
      <c r="Y123" t="s">
        <v>63</v>
      </c>
      <c r="Z123" t="s">
        <v>63</v>
      </c>
      <c r="AA123" t="s">
        <v>63</v>
      </c>
      <c r="AC123" t="s">
        <v>63</v>
      </c>
      <c r="AD123" t="s">
        <v>63</v>
      </c>
      <c r="AE123">
        <v>131</v>
      </c>
      <c r="AF123">
        <v>10</v>
      </c>
      <c r="AG123">
        <v>93.33</v>
      </c>
      <c r="AH123">
        <v>93.33</v>
      </c>
      <c r="AI123">
        <v>93.33</v>
      </c>
      <c r="AJ123">
        <v>93.33</v>
      </c>
      <c r="AT123">
        <v>72.78</v>
      </c>
      <c r="AU123">
        <v>0</v>
      </c>
      <c r="AV123">
        <v>72.78</v>
      </c>
      <c r="AY123">
        <v>0</v>
      </c>
      <c r="AZ123">
        <v>0</v>
      </c>
      <c r="BA123">
        <v>93.33</v>
      </c>
      <c r="BB123">
        <v>79.63</v>
      </c>
      <c r="BC123">
        <v>28</v>
      </c>
      <c r="BD123">
        <v>71.67</v>
      </c>
      <c r="BE123">
        <f t="shared" si="4"/>
        <v>131</v>
      </c>
      <c r="BF123">
        <f t="shared" si="3"/>
        <v>81.666666666666657</v>
      </c>
      <c r="BG123" t="s">
        <v>757</v>
      </c>
    </row>
    <row r="124" spans="1:59" x14ac:dyDescent="0.3">
      <c r="A124" t="s">
        <v>448</v>
      </c>
      <c r="B124">
        <v>127957</v>
      </c>
      <c r="C124">
        <v>24338045</v>
      </c>
      <c r="D124" t="s">
        <v>449</v>
      </c>
      <c r="E124" t="s">
        <v>61</v>
      </c>
      <c r="F124" t="s">
        <v>62</v>
      </c>
      <c r="G124">
        <v>7.5</v>
      </c>
      <c r="H124">
        <v>8.75</v>
      </c>
      <c r="I124">
        <v>10</v>
      </c>
      <c r="J124" t="s">
        <v>63</v>
      </c>
      <c r="K124" t="s">
        <v>63</v>
      </c>
      <c r="L124" t="s">
        <v>63</v>
      </c>
      <c r="M124" t="s">
        <v>63</v>
      </c>
      <c r="O124" t="s">
        <v>63</v>
      </c>
      <c r="P124" t="s">
        <v>63</v>
      </c>
      <c r="Q124" t="s">
        <v>63</v>
      </c>
      <c r="R124" t="s">
        <v>63</v>
      </c>
      <c r="T124" t="s">
        <v>63</v>
      </c>
      <c r="U124" t="s">
        <v>63</v>
      </c>
      <c r="V124" t="s">
        <v>63</v>
      </c>
      <c r="W124" t="s">
        <v>63</v>
      </c>
      <c r="Y124" t="s">
        <v>63</v>
      </c>
      <c r="Z124" t="s">
        <v>63</v>
      </c>
      <c r="AA124" t="s">
        <v>63</v>
      </c>
      <c r="AB124" t="s">
        <v>63</v>
      </c>
      <c r="AD124" t="s">
        <v>63</v>
      </c>
      <c r="AE124">
        <v>136</v>
      </c>
      <c r="AF124">
        <v>10</v>
      </c>
      <c r="AG124">
        <v>87.5</v>
      </c>
      <c r="AH124">
        <v>87.5</v>
      </c>
      <c r="AI124">
        <v>87.5</v>
      </c>
      <c r="AJ124">
        <v>87.5</v>
      </c>
      <c r="AT124">
        <v>75.56</v>
      </c>
      <c r="AU124">
        <v>0</v>
      </c>
      <c r="AV124">
        <v>75.56</v>
      </c>
      <c r="AY124">
        <v>0</v>
      </c>
      <c r="AZ124">
        <v>0</v>
      </c>
      <c r="BA124">
        <v>87.5</v>
      </c>
      <c r="BB124">
        <v>79.540000000000006</v>
      </c>
      <c r="BC124">
        <v>26.25</v>
      </c>
      <c r="BD124">
        <v>71.58</v>
      </c>
      <c r="BE124">
        <f t="shared" si="4"/>
        <v>136</v>
      </c>
      <c r="BF124">
        <f t="shared" si="3"/>
        <v>81.583333333333343</v>
      </c>
      <c r="BG124" t="s">
        <v>757</v>
      </c>
    </row>
    <row r="125" spans="1:59" x14ac:dyDescent="0.3">
      <c r="A125" t="s">
        <v>380</v>
      </c>
      <c r="B125">
        <v>129334</v>
      </c>
      <c r="C125">
        <v>24355912</v>
      </c>
      <c r="D125" t="s">
        <v>381</v>
      </c>
      <c r="E125" t="s">
        <v>61</v>
      </c>
      <c r="F125" t="s">
        <v>72</v>
      </c>
      <c r="G125">
        <v>8.5</v>
      </c>
      <c r="H125">
        <v>10</v>
      </c>
      <c r="I125">
        <v>10</v>
      </c>
      <c r="J125" t="s">
        <v>63</v>
      </c>
      <c r="K125" t="s">
        <v>63</v>
      </c>
      <c r="M125" t="s">
        <v>63</v>
      </c>
      <c r="N125" t="s">
        <v>63</v>
      </c>
      <c r="O125" t="s">
        <v>63</v>
      </c>
      <c r="P125" t="s">
        <v>63</v>
      </c>
      <c r="R125" t="s">
        <v>63</v>
      </c>
      <c r="S125" t="s">
        <v>63</v>
      </c>
      <c r="T125" t="s">
        <v>63</v>
      </c>
      <c r="U125" t="s">
        <v>63</v>
      </c>
      <c r="W125" t="s">
        <v>63</v>
      </c>
      <c r="X125" t="s">
        <v>63</v>
      </c>
      <c r="Y125" t="s">
        <v>63</v>
      </c>
      <c r="Z125" t="s">
        <v>63</v>
      </c>
      <c r="AB125" t="s">
        <v>63</v>
      </c>
      <c r="AC125" t="s">
        <v>63</v>
      </c>
      <c r="AD125" t="s">
        <v>63</v>
      </c>
      <c r="AE125">
        <v>129</v>
      </c>
      <c r="AF125">
        <v>10</v>
      </c>
      <c r="AG125">
        <v>95</v>
      </c>
      <c r="AH125">
        <v>95</v>
      </c>
      <c r="AI125">
        <v>95</v>
      </c>
      <c r="AJ125">
        <v>95</v>
      </c>
      <c r="AT125">
        <v>71.67</v>
      </c>
      <c r="AU125">
        <v>0</v>
      </c>
      <c r="AV125">
        <v>71.67</v>
      </c>
      <c r="AY125">
        <v>0</v>
      </c>
      <c r="AZ125">
        <v>0</v>
      </c>
      <c r="BA125">
        <v>95</v>
      </c>
      <c r="BB125">
        <v>79.44</v>
      </c>
      <c r="BC125">
        <v>28.5</v>
      </c>
      <c r="BD125">
        <v>71.5</v>
      </c>
      <c r="BE125">
        <f t="shared" si="4"/>
        <v>129</v>
      </c>
      <c r="BF125">
        <f t="shared" si="3"/>
        <v>81.5</v>
      </c>
      <c r="BG125" t="s">
        <v>758</v>
      </c>
    </row>
    <row r="126" spans="1:59" x14ac:dyDescent="0.3">
      <c r="A126" t="s">
        <v>560</v>
      </c>
      <c r="B126">
        <v>122986</v>
      </c>
      <c r="C126">
        <v>24276216</v>
      </c>
      <c r="D126" t="s">
        <v>561</v>
      </c>
      <c r="E126" t="s">
        <v>61</v>
      </c>
      <c r="F126" t="s">
        <v>77</v>
      </c>
      <c r="G126">
        <v>9</v>
      </c>
      <c r="H126">
        <v>10</v>
      </c>
      <c r="I126">
        <v>10</v>
      </c>
      <c r="J126" t="s">
        <v>63</v>
      </c>
      <c r="K126" t="s">
        <v>63</v>
      </c>
      <c r="L126" t="s">
        <v>63</v>
      </c>
      <c r="N126" t="s">
        <v>63</v>
      </c>
      <c r="O126" t="s">
        <v>63</v>
      </c>
      <c r="P126" t="s">
        <v>63</v>
      </c>
      <c r="Q126" t="s">
        <v>63</v>
      </c>
      <c r="S126" t="s">
        <v>63</v>
      </c>
      <c r="T126" t="s">
        <v>63</v>
      </c>
      <c r="U126" t="s">
        <v>63</v>
      </c>
      <c r="V126" t="s">
        <v>63</v>
      </c>
      <c r="X126" t="s">
        <v>63</v>
      </c>
      <c r="Y126" t="s">
        <v>63</v>
      </c>
      <c r="Z126" t="s">
        <v>63</v>
      </c>
      <c r="AA126" t="s">
        <v>63</v>
      </c>
      <c r="AC126" t="s">
        <v>63</v>
      </c>
      <c r="AD126">
        <v>127.5</v>
      </c>
      <c r="AF126">
        <v>10</v>
      </c>
      <c r="AG126">
        <v>96.67</v>
      </c>
      <c r="AH126">
        <v>96.67</v>
      </c>
      <c r="AI126">
        <v>96.67</v>
      </c>
      <c r="AJ126">
        <v>96.67</v>
      </c>
      <c r="AT126">
        <v>70.83</v>
      </c>
      <c r="AU126">
        <v>0</v>
      </c>
      <c r="AV126">
        <v>35.42</v>
      </c>
      <c r="AY126">
        <v>0</v>
      </c>
      <c r="AZ126">
        <v>0</v>
      </c>
      <c r="BA126">
        <v>96.67</v>
      </c>
      <c r="BB126">
        <v>79.44</v>
      </c>
      <c r="BC126">
        <v>29</v>
      </c>
      <c r="BD126">
        <v>50.25</v>
      </c>
      <c r="BE126">
        <v>129.5</v>
      </c>
      <c r="BF126">
        <f t="shared" si="3"/>
        <v>82.166666666666657</v>
      </c>
      <c r="BG126" t="s">
        <v>757</v>
      </c>
    </row>
    <row r="127" spans="1:59" x14ac:dyDescent="0.3">
      <c r="A127" t="s">
        <v>666</v>
      </c>
      <c r="B127">
        <v>130000</v>
      </c>
      <c r="C127">
        <v>24361454</v>
      </c>
      <c r="D127" t="s">
        <v>667</v>
      </c>
      <c r="E127" t="s">
        <v>61</v>
      </c>
      <c r="F127" t="s">
        <v>69</v>
      </c>
      <c r="G127">
        <v>8</v>
      </c>
      <c r="H127">
        <v>10</v>
      </c>
      <c r="I127">
        <v>10</v>
      </c>
      <c r="J127" t="s">
        <v>63</v>
      </c>
      <c r="L127" t="s">
        <v>63</v>
      </c>
      <c r="M127" t="s">
        <v>63</v>
      </c>
      <c r="N127" t="s">
        <v>63</v>
      </c>
      <c r="O127" t="s">
        <v>63</v>
      </c>
      <c r="Q127" t="s">
        <v>63</v>
      </c>
      <c r="R127" t="s">
        <v>63</v>
      </c>
      <c r="S127" t="s">
        <v>63</v>
      </c>
      <c r="T127" t="s">
        <v>63</v>
      </c>
      <c r="V127" t="s">
        <v>63</v>
      </c>
      <c r="W127" t="s">
        <v>63</v>
      </c>
      <c r="X127" t="s">
        <v>63</v>
      </c>
      <c r="Y127" t="s">
        <v>63</v>
      </c>
      <c r="AA127" t="s">
        <v>63</v>
      </c>
      <c r="AB127" t="s">
        <v>63</v>
      </c>
      <c r="AC127" t="s">
        <v>63</v>
      </c>
      <c r="AD127" t="s">
        <v>63</v>
      </c>
      <c r="AE127">
        <v>130.5</v>
      </c>
      <c r="AF127">
        <v>10</v>
      </c>
      <c r="AG127">
        <v>93.33</v>
      </c>
      <c r="AH127">
        <v>93.33</v>
      </c>
      <c r="AI127">
        <v>93.33</v>
      </c>
      <c r="AJ127">
        <v>93.33</v>
      </c>
      <c r="AT127">
        <v>72.5</v>
      </c>
      <c r="AU127">
        <v>0</v>
      </c>
      <c r="AV127">
        <v>72.5</v>
      </c>
      <c r="AY127">
        <v>0</v>
      </c>
      <c r="AZ127">
        <v>0</v>
      </c>
      <c r="BA127">
        <v>93.33</v>
      </c>
      <c r="BB127">
        <v>79.44</v>
      </c>
      <c r="BC127">
        <v>28</v>
      </c>
      <c r="BD127">
        <v>71.5</v>
      </c>
      <c r="BE127">
        <f t="shared" si="4"/>
        <v>130.5</v>
      </c>
      <c r="BF127">
        <f t="shared" si="3"/>
        <v>81.5</v>
      </c>
      <c r="BG127" t="s">
        <v>758</v>
      </c>
    </row>
    <row r="128" spans="1:59" x14ac:dyDescent="0.3">
      <c r="A128" t="s">
        <v>110</v>
      </c>
      <c r="B128">
        <v>127833</v>
      </c>
      <c r="C128">
        <v>24336651</v>
      </c>
      <c r="D128" t="s">
        <v>111</v>
      </c>
      <c r="E128" t="s">
        <v>61</v>
      </c>
      <c r="F128" t="s">
        <v>77</v>
      </c>
      <c r="G128">
        <v>7.25</v>
      </c>
      <c r="H128">
        <v>10</v>
      </c>
      <c r="I128">
        <v>10</v>
      </c>
      <c r="J128" t="s">
        <v>63</v>
      </c>
      <c r="K128" t="s">
        <v>63</v>
      </c>
      <c r="L128" t="s">
        <v>63</v>
      </c>
      <c r="N128" t="s">
        <v>63</v>
      </c>
      <c r="O128" t="s">
        <v>63</v>
      </c>
      <c r="P128" t="s">
        <v>63</v>
      </c>
      <c r="Q128" t="s">
        <v>63</v>
      </c>
      <c r="S128" t="s">
        <v>63</v>
      </c>
      <c r="T128" t="s">
        <v>63</v>
      </c>
      <c r="U128" t="s">
        <v>63</v>
      </c>
      <c r="V128" t="s">
        <v>63</v>
      </c>
      <c r="X128" t="s">
        <v>63</v>
      </c>
      <c r="Y128" t="s">
        <v>63</v>
      </c>
      <c r="Z128" t="s">
        <v>63</v>
      </c>
      <c r="AA128" t="s">
        <v>63</v>
      </c>
      <c r="AC128" t="s">
        <v>63</v>
      </c>
      <c r="AD128" t="s">
        <v>63</v>
      </c>
      <c r="AE128">
        <v>132.5</v>
      </c>
      <c r="AF128">
        <v>10</v>
      </c>
      <c r="AG128">
        <v>90.83</v>
      </c>
      <c r="AH128">
        <v>90.83</v>
      </c>
      <c r="AI128">
        <v>90.83</v>
      </c>
      <c r="AJ128">
        <v>90.83</v>
      </c>
      <c r="AT128">
        <v>73.61</v>
      </c>
      <c r="AU128">
        <v>0</v>
      </c>
      <c r="AV128">
        <v>73.61</v>
      </c>
      <c r="AY128">
        <v>0</v>
      </c>
      <c r="AZ128">
        <v>0</v>
      </c>
      <c r="BA128">
        <v>90.83</v>
      </c>
      <c r="BB128">
        <v>79.349999999999994</v>
      </c>
      <c r="BC128">
        <v>27.25</v>
      </c>
      <c r="BD128">
        <v>71.42</v>
      </c>
      <c r="BE128">
        <f t="shared" si="4"/>
        <v>132.5</v>
      </c>
      <c r="BF128">
        <f t="shared" si="3"/>
        <v>81.416666666666657</v>
      </c>
      <c r="BG128" t="s">
        <v>758</v>
      </c>
    </row>
    <row r="129" spans="1:59" x14ac:dyDescent="0.3">
      <c r="A129" t="s">
        <v>59</v>
      </c>
      <c r="B129">
        <v>132853</v>
      </c>
      <c r="C129">
        <v>24374442</v>
      </c>
      <c r="D129" t="s">
        <v>60</v>
      </c>
      <c r="E129" t="s">
        <v>61</v>
      </c>
      <c r="F129" t="s">
        <v>62</v>
      </c>
      <c r="G129">
        <v>7.5</v>
      </c>
      <c r="H129">
        <v>9</v>
      </c>
      <c r="I129">
        <v>10</v>
      </c>
      <c r="J129" t="s">
        <v>63</v>
      </c>
      <c r="K129" t="s">
        <v>63</v>
      </c>
      <c r="L129" t="s">
        <v>63</v>
      </c>
      <c r="M129" t="s">
        <v>63</v>
      </c>
      <c r="O129" t="s">
        <v>63</v>
      </c>
      <c r="P129" t="s">
        <v>63</v>
      </c>
      <c r="Q129" t="s">
        <v>63</v>
      </c>
      <c r="R129" t="s">
        <v>63</v>
      </c>
      <c r="T129" t="s">
        <v>63</v>
      </c>
      <c r="U129" t="s">
        <v>63</v>
      </c>
      <c r="V129" t="s">
        <v>63</v>
      </c>
      <c r="W129" t="s">
        <v>63</v>
      </c>
      <c r="Y129" t="s">
        <v>63</v>
      </c>
      <c r="Z129" t="s">
        <v>63</v>
      </c>
      <c r="AA129" t="s">
        <v>63</v>
      </c>
      <c r="AB129" t="s">
        <v>63</v>
      </c>
      <c r="AD129" t="s">
        <v>63</v>
      </c>
      <c r="AE129">
        <v>134.5</v>
      </c>
      <c r="AF129">
        <v>10</v>
      </c>
      <c r="AG129">
        <v>88.33</v>
      </c>
      <c r="AH129">
        <v>88.33</v>
      </c>
      <c r="AI129">
        <v>88.33</v>
      </c>
      <c r="AJ129">
        <v>88.33</v>
      </c>
      <c r="AT129">
        <v>74.72</v>
      </c>
      <c r="AU129">
        <v>0</v>
      </c>
      <c r="AV129">
        <v>74.72</v>
      </c>
      <c r="AY129">
        <v>0</v>
      </c>
      <c r="AZ129">
        <v>0</v>
      </c>
      <c r="BA129">
        <v>88.33</v>
      </c>
      <c r="BB129">
        <v>79.260000000000005</v>
      </c>
      <c r="BC129">
        <v>26.5</v>
      </c>
      <c r="BD129">
        <v>71.33</v>
      </c>
      <c r="BE129">
        <f t="shared" si="4"/>
        <v>134.5</v>
      </c>
      <c r="BF129">
        <f t="shared" si="3"/>
        <v>81.333333333333343</v>
      </c>
      <c r="BG129" t="s">
        <v>758</v>
      </c>
    </row>
    <row r="130" spans="1:59" x14ac:dyDescent="0.3">
      <c r="A130" t="s">
        <v>300</v>
      </c>
      <c r="B130">
        <v>122900</v>
      </c>
      <c r="C130">
        <v>24274703</v>
      </c>
      <c r="D130" t="s">
        <v>301</v>
      </c>
      <c r="E130" t="s">
        <v>61</v>
      </c>
      <c r="F130" t="s">
        <v>66</v>
      </c>
      <c r="G130">
        <v>9</v>
      </c>
      <c r="H130">
        <v>10</v>
      </c>
      <c r="I130">
        <v>9.5</v>
      </c>
      <c r="K130" t="s">
        <v>63</v>
      </c>
      <c r="L130" t="s">
        <v>63</v>
      </c>
      <c r="M130" t="s">
        <v>63</v>
      </c>
      <c r="N130" t="s">
        <v>63</v>
      </c>
      <c r="P130" t="s">
        <v>63</v>
      </c>
      <c r="Q130" t="s">
        <v>63</v>
      </c>
      <c r="R130" t="s">
        <v>63</v>
      </c>
      <c r="S130" t="s">
        <v>63</v>
      </c>
      <c r="U130" t="s">
        <v>63</v>
      </c>
      <c r="V130" t="s">
        <v>63</v>
      </c>
      <c r="W130" t="s">
        <v>63</v>
      </c>
      <c r="X130" t="s">
        <v>63</v>
      </c>
      <c r="Z130" t="s">
        <v>63</v>
      </c>
      <c r="AA130" t="s">
        <v>63</v>
      </c>
      <c r="AB130" t="s">
        <v>63</v>
      </c>
      <c r="AC130" t="s">
        <v>63</v>
      </c>
      <c r="AD130" t="s">
        <v>63</v>
      </c>
      <c r="AE130">
        <v>128.5</v>
      </c>
      <c r="AF130">
        <v>10</v>
      </c>
      <c r="AG130">
        <v>95</v>
      </c>
      <c r="AH130">
        <v>95</v>
      </c>
      <c r="AI130">
        <v>95</v>
      </c>
      <c r="AJ130">
        <v>95</v>
      </c>
      <c r="AT130">
        <v>71.39</v>
      </c>
      <c r="AU130">
        <v>0</v>
      </c>
      <c r="AV130">
        <v>71.39</v>
      </c>
      <c r="AY130">
        <v>0</v>
      </c>
      <c r="AZ130">
        <v>0</v>
      </c>
      <c r="BA130">
        <v>95</v>
      </c>
      <c r="BB130">
        <v>79.260000000000005</v>
      </c>
      <c r="BC130">
        <v>28.5</v>
      </c>
      <c r="BD130">
        <v>71.33</v>
      </c>
      <c r="BE130">
        <f t="shared" si="4"/>
        <v>128.5</v>
      </c>
      <c r="BF130">
        <f t="shared" si="3"/>
        <v>81.333333333333343</v>
      </c>
      <c r="BG130" t="s">
        <v>758</v>
      </c>
    </row>
    <row r="131" spans="1:59" x14ac:dyDescent="0.3">
      <c r="A131" t="s">
        <v>75</v>
      </c>
      <c r="B131">
        <v>133015</v>
      </c>
      <c r="C131">
        <v>24377655</v>
      </c>
      <c r="D131" t="s">
        <v>76</v>
      </c>
      <c r="E131" t="s">
        <v>61</v>
      </c>
      <c r="F131" t="s">
        <v>77</v>
      </c>
      <c r="G131">
        <v>6</v>
      </c>
      <c r="H131">
        <v>9</v>
      </c>
      <c r="I131">
        <v>9.5</v>
      </c>
      <c r="J131" t="s">
        <v>63</v>
      </c>
      <c r="K131" t="s">
        <v>63</v>
      </c>
      <c r="L131" t="s">
        <v>63</v>
      </c>
      <c r="N131" t="s">
        <v>63</v>
      </c>
      <c r="O131" t="s">
        <v>63</v>
      </c>
      <c r="P131" t="s">
        <v>63</v>
      </c>
      <c r="Q131" t="s">
        <v>63</v>
      </c>
      <c r="S131" t="s">
        <v>63</v>
      </c>
      <c r="T131" t="s">
        <v>63</v>
      </c>
      <c r="U131" t="s">
        <v>63</v>
      </c>
      <c r="V131" t="s">
        <v>63</v>
      </c>
      <c r="X131" t="s">
        <v>63</v>
      </c>
      <c r="Y131" t="s">
        <v>63</v>
      </c>
      <c r="Z131" t="s">
        <v>63</v>
      </c>
      <c r="AA131" t="s">
        <v>63</v>
      </c>
      <c r="AC131" t="s">
        <v>63</v>
      </c>
      <c r="AD131" t="s">
        <v>63</v>
      </c>
      <c r="AE131">
        <v>140</v>
      </c>
      <c r="AF131">
        <v>10</v>
      </c>
      <c r="AG131">
        <v>81.67</v>
      </c>
      <c r="AH131">
        <v>81.67</v>
      </c>
      <c r="AI131">
        <v>81.67</v>
      </c>
      <c r="AJ131">
        <v>81.67</v>
      </c>
      <c r="AT131">
        <v>77.78</v>
      </c>
      <c r="AU131">
        <v>0</v>
      </c>
      <c r="AV131">
        <v>77.78</v>
      </c>
      <c r="AY131">
        <v>0</v>
      </c>
      <c r="AZ131">
        <v>0</v>
      </c>
      <c r="BA131">
        <v>81.67</v>
      </c>
      <c r="BB131">
        <v>79.069999999999993</v>
      </c>
      <c r="BC131">
        <v>24.5</v>
      </c>
      <c r="BD131">
        <v>71.17</v>
      </c>
      <c r="BE131">
        <f t="shared" si="4"/>
        <v>140</v>
      </c>
      <c r="BF131">
        <f t="shared" si="3"/>
        <v>81.166666666666657</v>
      </c>
      <c r="BG131" t="s">
        <v>758</v>
      </c>
    </row>
    <row r="132" spans="1:59" x14ac:dyDescent="0.3">
      <c r="A132" t="s">
        <v>372</v>
      </c>
      <c r="B132">
        <v>133503</v>
      </c>
      <c r="C132">
        <v>24382075</v>
      </c>
      <c r="D132" t="s">
        <v>373</v>
      </c>
      <c r="E132" t="s">
        <v>61</v>
      </c>
      <c r="F132" t="s">
        <v>66</v>
      </c>
      <c r="G132">
        <v>7</v>
      </c>
      <c r="H132">
        <v>9.5</v>
      </c>
      <c r="I132">
        <v>9</v>
      </c>
      <c r="K132" t="s">
        <v>63</v>
      </c>
      <c r="L132" t="s">
        <v>63</v>
      </c>
      <c r="M132" t="s">
        <v>63</v>
      </c>
      <c r="N132" t="s">
        <v>63</v>
      </c>
      <c r="P132" t="s">
        <v>63</v>
      </c>
      <c r="Q132" t="s">
        <v>63</v>
      </c>
      <c r="R132" t="s">
        <v>63</v>
      </c>
      <c r="S132" t="s">
        <v>63</v>
      </c>
      <c r="U132" t="s">
        <v>63</v>
      </c>
      <c r="V132" t="s">
        <v>63</v>
      </c>
      <c r="W132" t="s">
        <v>63</v>
      </c>
      <c r="X132" t="s">
        <v>63</v>
      </c>
      <c r="Z132" t="s">
        <v>63</v>
      </c>
      <c r="AA132" t="s">
        <v>63</v>
      </c>
      <c r="AB132" t="s">
        <v>63</v>
      </c>
      <c r="AC132" t="s">
        <v>63</v>
      </c>
      <c r="AD132" t="s">
        <v>63</v>
      </c>
      <c r="AE132">
        <v>137</v>
      </c>
      <c r="AF132">
        <v>10</v>
      </c>
      <c r="AG132">
        <v>85</v>
      </c>
      <c r="AH132">
        <v>85</v>
      </c>
      <c r="AI132">
        <v>85</v>
      </c>
      <c r="AJ132">
        <v>85</v>
      </c>
      <c r="AT132">
        <v>76.11</v>
      </c>
      <c r="AU132">
        <v>0</v>
      </c>
      <c r="AV132">
        <v>76.11</v>
      </c>
      <c r="AY132">
        <v>0</v>
      </c>
      <c r="AZ132">
        <v>0</v>
      </c>
      <c r="BA132">
        <v>85</v>
      </c>
      <c r="BB132">
        <v>79.069999999999993</v>
      </c>
      <c r="BC132">
        <v>25.5</v>
      </c>
      <c r="BD132">
        <v>71.17</v>
      </c>
      <c r="BE132">
        <f t="shared" ref="BE132:BE195" si="5">IF(AE132&gt;0,AE132,AD132)</f>
        <v>137</v>
      </c>
      <c r="BF132">
        <f t="shared" ref="BF132:BF195" si="6">G132+H132+I132+AF132+(BE132/3)</f>
        <v>81.166666666666657</v>
      </c>
      <c r="BG132" t="s">
        <v>758</v>
      </c>
    </row>
    <row r="133" spans="1:59" x14ac:dyDescent="0.3">
      <c r="A133" t="s">
        <v>442</v>
      </c>
      <c r="B133">
        <v>129989</v>
      </c>
      <c r="C133">
        <v>24360247</v>
      </c>
      <c r="D133" t="s">
        <v>443</v>
      </c>
      <c r="E133" t="s">
        <v>61</v>
      </c>
      <c r="F133" t="s">
        <v>62</v>
      </c>
      <c r="G133">
        <v>8</v>
      </c>
      <c r="H133">
        <v>10</v>
      </c>
      <c r="I133">
        <v>10</v>
      </c>
      <c r="J133" t="s">
        <v>63</v>
      </c>
      <c r="K133" t="s">
        <v>63</v>
      </c>
      <c r="L133" t="s">
        <v>63</v>
      </c>
      <c r="M133" t="s">
        <v>63</v>
      </c>
      <c r="O133" t="s">
        <v>63</v>
      </c>
      <c r="P133" t="s">
        <v>63</v>
      </c>
      <c r="Q133" t="s">
        <v>63</v>
      </c>
      <c r="R133" t="s">
        <v>63</v>
      </c>
      <c r="T133" t="s">
        <v>63</v>
      </c>
      <c r="U133" t="s">
        <v>63</v>
      </c>
      <c r="V133" t="s">
        <v>63</v>
      </c>
      <c r="W133" t="s">
        <v>63</v>
      </c>
      <c r="Y133" t="s">
        <v>63</v>
      </c>
      <c r="Z133" t="s">
        <v>63</v>
      </c>
      <c r="AA133" t="s">
        <v>63</v>
      </c>
      <c r="AB133" t="s">
        <v>63</v>
      </c>
      <c r="AD133" t="s">
        <v>63</v>
      </c>
      <c r="AE133">
        <v>129.5</v>
      </c>
      <c r="AF133">
        <v>10</v>
      </c>
      <c r="AG133">
        <v>93.33</v>
      </c>
      <c r="AH133">
        <v>93.33</v>
      </c>
      <c r="AI133">
        <v>93.33</v>
      </c>
      <c r="AJ133">
        <v>93.33</v>
      </c>
      <c r="AT133">
        <v>71.94</v>
      </c>
      <c r="AU133">
        <v>0</v>
      </c>
      <c r="AV133">
        <v>71.94</v>
      </c>
      <c r="AY133">
        <v>0</v>
      </c>
      <c r="AZ133">
        <v>0</v>
      </c>
      <c r="BA133">
        <v>93.33</v>
      </c>
      <c r="BB133">
        <v>79.069999999999993</v>
      </c>
      <c r="BC133">
        <v>28</v>
      </c>
      <c r="BD133">
        <v>71.17</v>
      </c>
      <c r="BE133">
        <f t="shared" si="5"/>
        <v>129.5</v>
      </c>
      <c r="BF133">
        <f t="shared" si="6"/>
        <v>81.166666666666657</v>
      </c>
      <c r="BG133" t="s">
        <v>758</v>
      </c>
    </row>
    <row r="134" spans="1:59" x14ac:dyDescent="0.3">
      <c r="A134" t="s">
        <v>622</v>
      </c>
      <c r="B134">
        <v>123258</v>
      </c>
      <c r="C134">
        <v>24276794</v>
      </c>
      <c r="D134" t="s">
        <v>623</v>
      </c>
      <c r="E134" t="s">
        <v>61</v>
      </c>
      <c r="F134" t="s">
        <v>72</v>
      </c>
      <c r="G134">
        <v>6.75</v>
      </c>
      <c r="H134">
        <v>9.5</v>
      </c>
      <c r="I134">
        <v>10</v>
      </c>
      <c r="J134" t="s">
        <v>63</v>
      </c>
      <c r="K134" t="s">
        <v>63</v>
      </c>
      <c r="M134" t="s">
        <v>63</v>
      </c>
      <c r="N134" t="s">
        <v>63</v>
      </c>
      <c r="O134" t="s">
        <v>63</v>
      </c>
      <c r="P134" t="s">
        <v>63</v>
      </c>
      <c r="R134" t="s">
        <v>63</v>
      </c>
      <c r="S134" t="s">
        <v>63</v>
      </c>
      <c r="T134" t="s">
        <v>63</v>
      </c>
      <c r="U134" t="s">
        <v>63</v>
      </c>
      <c r="W134" t="s">
        <v>63</v>
      </c>
      <c r="X134" t="s">
        <v>63</v>
      </c>
      <c r="Y134" t="s">
        <v>63</v>
      </c>
      <c r="Z134" t="s">
        <v>63</v>
      </c>
      <c r="AB134" t="s">
        <v>63</v>
      </c>
      <c r="AC134" t="s">
        <v>63</v>
      </c>
      <c r="AD134" t="s">
        <v>63</v>
      </c>
      <c r="AE134">
        <v>134.5</v>
      </c>
      <c r="AF134">
        <v>10</v>
      </c>
      <c r="AG134">
        <v>87.5</v>
      </c>
      <c r="AH134">
        <v>87.5</v>
      </c>
      <c r="AI134">
        <v>87.5</v>
      </c>
      <c r="AJ134">
        <v>87.5</v>
      </c>
      <c r="AT134">
        <v>74.72</v>
      </c>
      <c r="AU134">
        <v>0</v>
      </c>
      <c r="AV134">
        <v>74.72</v>
      </c>
      <c r="AY134">
        <v>0</v>
      </c>
      <c r="AZ134">
        <v>0</v>
      </c>
      <c r="BA134">
        <v>87.5</v>
      </c>
      <c r="BB134">
        <v>78.98</v>
      </c>
      <c r="BC134">
        <v>26.25</v>
      </c>
      <c r="BD134">
        <v>71.08</v>
      </c>
      <c r="BE134">
        <f t="shared" si="5"/>
        <v>134.5</v>
      </c>
      <c r="BF134">
        <f t="shared" si="6"/>
        <v>81.083333333333343</v>
      </c>
      <c r="BG134" t="s">
        <v>758</v>
      </c>
    </row>
    <row r="135" spans="1:59" x14ac:dyDescent="0.3">
      <c r="A135" t="s">
        <v>92</v>
      </c>
      <c r="B135">
        <v>128365</v>
      </c>
      <c r="C135">
        <v>24342516</v>
      </c>
      <c r="D135" t="s">
        <v>93</v>
      </c>
      <c r="E135" t="s">
        <v>61</v>
      </c>
      <c r="F135" t="s">
        <v>69</v>
      </c>
      <c r="G135">
        <v>9</v>
      </c>
      <c r="H135">
        <v>10</v>
      </c>
      <c r="I135">
        <v>10</v>
      </c>
      <c r="J135" t="s">
        <v>63</v>
      </c>
      <c r="L135" t="s">
        <v>63</v>
      </c>
      <c r="M135" t="s">
        <v>63</v>
      </c>
      <c r="N135" t="s">
        <v>63</v>
      </c>
      <c r="O135" t="s">
        <v>63</v>
      </c>
      <c r="Q135" t="s">
        <v>63</v>
      </c>
      <c r="R135" t="s">
        <v>63</v>
      </c>
      <c r="S135" t="s">
        <v>63</v>
      </c>
      <c r="T135" t="s">
        <v>63</v>
      </c>
      <c r="V135" t="s">
        <v>63</v>
      </c>
      <c r="W135" t="s">
        <v>63</v>
      </c>
      <c r="X135" t="s">
        <v>63</v>
      </c>
      <c r="Y135" t="s">
        <v>63</v>
      </c>
      <c r="AA135" t="s">
        <v>63</v>
      </c>
      <c r="AB135" t="s">
        <v>63</v>
      </c>
      <c r="AC135" t="s">
        <v>63</v>
      </c>
      <c r="AD135" t="s">
        <v>63</v>
      </c>
      <c r="AE135">
        <v>125.5</v>
      </c>
      <c r="AF135">
        <v>10</v>
      </c>
      <c r="AG135">
        <v>96.67</v>
      </c>
      <c r="AH135">
        <v>96.67</v>
      </c>
      <c r="AI135">
        <v>96.67</v>
      </c>
      <c r="AJ135">
        <v>96.67</v>
      </c>
      <c r="AT135">
        <v>69.72</v>
      </c>
      <c r="AU135">
        <v>0</v>
      </c>
      <c r="AV135">
        <v>69.72</v>
      </c>
      <c r="AY135">
        <v>0</v>
      </c>
      <c r="AZ135">
        <v>0</v>
      </c>
      <c r="BA135">
        <v>96.67</v>
      </c>
      <c r="BB135">
        <v>78.7</v>
      </c>
      <c r="BC135">
        <v>29</v>
      </c>
      <c r="BD135">
        <v>70.83</v>
      </c>
      <c r="BE135">
        <f t="shared" si="5"/>
        <v>125.5</v>
      </c>
      <c r="BF135">
        <f t="shared" si="6"/>
        <v>80.833333333333343</v>
      </c>
      <c r="BG135" t="s">
        <v>758</v>
      </c>
    </row>
    <row r="136" spans="1:59" x14ac:dyDescent="0.3">
      <c r="A136" t="s">
        <v>154</v>
      </c>
      <c r="B136">
        <v>127480</v>
      </c>
      <c r="C136">
        <v>24331347</v>
      </c>
      <c r="D136" t="s">
        <v>155</v>
      </c>
      <c r="E136" t="s">
        <v>61</v>
      </c>
      <c r="F136" t="s">
        <v>69</v>
      </c>
      <c r="G136">
        <v>6.25</v>
      </c>
      <c r="H136">
        <v>10</v>
      </c>
      <c r="I136">
        <v>10</v>
      </c>
      <c r="J136" t="s">
        <v>63</v>
      </c>
      <c r="L136" t="s">
        <v>63</v>
      </c>
      <c r="M136" t="s">
        <v>63</v>
      </c>
      <c r="N136" t="s">
        <v>63</v>
      </c>
      <c r="O136" t="s">
        <v>63</v>
      </c>
      <c r="Q136" t="s">
        <v>63</v>
      </c>
      <c r="R136" t="s">
        <v>63</v>
      </c>
      <c r="S136" t="s">
        <v>63</v>
      </c>
      <c r="T136" t="s">
        <v>63</v>
      </c>
      <c r="V136" t="s">
        <v>63</v>
      </c>
      <c r="W136" t="s">
        <v>63</v>
      </c>
      <c r="X136" t="s">
        <v>63</v>
      </c>
      <c r="Y136" t="s">
        <v>63</v>
      </c>
      <c r="AA136" t="s">
        <v>63</v>
      </c>
      <c r="AB136" t="s">
        <v>63</v>
      </c>
      <c r="AC136" t="s">
        <v>63</v>
      </c>
      <c r="AD136" t="s">
        <v>63</v>
      </c>
      <c r="AE136">
        <v>133.5</v>
      </c>
      <c r="AF136">
        <v>10</v>
      </c>
      <c r="AG136">
        <v>87.5</v>
      </c>
      <c r="AH136">
        <v>87.5</v>
      </c>
      <c r="AI136">
        <v>87.5</v>
      </c>
      <c r="AJ136">
        <v>87.5</v>
      </c>
      <c r="AT136">
        <v>74.17</v>
      </c>
      <c r="AU136">
        <v>0</v>
      </c>
      <c r="AV136">
        <v>74.17</v>
      </c>
      <c r="AY136">
        <v>0</v>
      </c>
      <c r="AZ136">
        <v>0</v>
      </c>
      <c r="BA136">
        <v>87.5</v>
      </c>
      <c r="BB136">
        <v>78.61</v>
      </c>
      <c r="BC136">
        <v>26.25</v>
      </c>
      <c r="BD136">
        <v>70.75</v>
      </c>
      <c r="BE136">
        <f t="shared" si="5"/>
        <v>133.5</v>
      </c>
      <c r="BF136">
        <f t="shared" si="6"/>
        <v>80.75</v>
      </c>
      <c r="BG136" t="s">
        <v>758</v>
      </c>
    </row>
    <row r="137" spans="1:59" x14ac:dyDescent="0.3">
      <c r="A137" t="s">
        <v>320</v>
      </c>
      <c r="B137">
        <v>127647</v>
      </c>
      <c r="C137">
        <v>24335342</v>
      </c>
      <c r="D137" t="s">
        <v>321</v>
      </c>
      <c r="E137" t="s">
        <v>61</v>
      </c>
      <c r="F137" t="s">
        <v>72</v>
      </c>
      <c r="G137">
        <v>8.5</v>
      </c>
      <c r="H137">
        <v>9.5</v>
      </c>
      <c r="I137">
        <v>10</v>
      </c>
      <c r="J137" t="s">
        <v>63</v>
      </c>
      <c r="K137" t="s">
        <v>63</v>
      </c>
      <c r="M137" t="s">
        <v>63</v>
      </c>
      <c r="N137" t="s">
        <v>63</v>
      </c>
      <c r="O137" t="s">
        <v>63</v>
      </c>
      <c r="P137" t="s">
        <v>63</v>
      </c>
      <c r="R137" t="s">
        <v>63</v>
      </c>
      <c r="S137" t="s">
        <v>63</v>
      </c>
      <c r="T137" t="s">
        <v>63</v>
      </c>
      <c r="U137" t="s">
        <v>63</v>
      </c>
      <c r="W137" t="s">
        <v>63</v>
      </c>
      <c r="X137" t="s">
        <v>63</v>
      </c>
      <c r="Y137" t="s">
        <v>63</v>
      </c>
      <c r="Z137" t="s">
        <v>63</v>
      </c>
      <c r="AB137" t="s">
        <v>63</v>
      </c>
      <c r="AC137" t="s">
        <v>63</v>
      </c>
      <c r="AD137" t="s">
        <v>63</v>
      </c>
      <c r="AE137">
        <v>128</v>
      </c>
      <c r="AF137">
        <v>10</v>
      </c>
      <c r="AG137">
        <v>93.33</v>
      </c>
      <c r="AH137">
        <v>93.33</v>
      </c>
      <c r="AI137">
        <v>93.33</v>
      </c>
      <c r="AJ137">
        <v>93.33</v>
      </c>
      <c r="AT137">
        <v>71.11</v>
      </c>
      <c r="AU137">
        <v>0</v>
      </c>
      <c r="AV137">
        <v>71.11</v>
      </c>
      <c r="AY137">
        <v>0</v>
      </c>
      <c r="AZ137">
        <v>0</v>
      </c>
      <c r="BA137">
        <v>93.33</v>
      </c>
      <c r="BB137">
        <v>78.52</v>
      </c>
      <c r="BC137">
        <v>28</v>
      </c>
      <c r="BD137">
        <v>70.67</v>
      </c>
      <c r="BE137">
        <f t="shared" si="5"/>
        <v>128</v>
      </c>
      <c r="BF137">
        <f t="shared" si="6"/>
        <v>80.666666666666657</v>
      </c>
      <c r="BG137" t="s">
        <v>758</v>
      </c>
    </row>
    <row r="138" spans="1:59" x14ac:dyDescent="0.3">
      <c r="A138" t="s">
        <v>170</v>
      </c>
      <c r="B138">
        <v>135029</v>
      </c>
      <c r="C138">
        <v>24462213</v>
      </c>
      <c r="D138" t="s">
        <v>171</v>
      </c>
      <c r="E138" t="s">
        <v>61</v>
      </c>
      <c r="F138" t="s">
        <v>69</v>
      </c>
      <c r="G138">
        <v>8</v>
      </c>
      <c r="H138">
        <v>10</v>
      </c>
      <c r="I138">
        <v>10</v>
      </c>
      <c r="J138" t="s">
        <v>63</v>
      </c>
      <c r="L138" t="s">
        <v>63</v>
      </c>
      <c r="M138" t="s">
        <v>63</v>
      </c>
      <c r="N138" t="s">
        <v>63</v>
      </c>
      <c r="O138" t="s">
        <v>63</v>
      </c>
      <c r="Q138" t="s">
        <v>63</v>
      </c>
      <c r="R138" t="s">
        <v>63</v>
      </c>
      <c r="S138" t="s">
        <v>63</v>
      </c>
      <c r="T138" t="s">
        <v>63</v>
      </c>
      <c r="V138" t="s">
        <v>63</v>
      </c>
      <c r="W138" t="s">
        <v>63</v>
      </c>
      <c r="X138" t="s">
        <v>63</v>
      </c>
      <c r="Y138" t="s">
        <v>63</v>
      </c>
      <c r="AA138" t="s">
        <v>63</v>
      </c>
      <c r="AB138" t="s">
        <v>63</v>
      </c>
      <c r="AC138" t="s">
        <v>63</v>
      </c>
      <c r="AD138" t="s">
        <v>63</v>
      </c>
      <c r="AE138">
        <v>127.5</v>
      </c>
      <c r="AF138">
        <v>10</v>
      </c>
      <c r="AG138">
        <v>93.33</v>
      </c>
      <c r="AH138">
        <v>93.33</v>
      </c>
      <c r="AI138">
        <v>93.33</v>
      </c>
      <c r="AJ138">
        <v>93.33</v>
      </c>
      <c r="AT138">
        <v>70.83</v>
      </c>
      <c r="AU138">
        <v>0</v>
      </c>
      <c r="AV138">
        <v>70.83</v>
      </c>
      <c r="AY138">
        <v>0</v>
      </c>
      <c r="AZ138">
        <v>0</v>
      </c>
      <c r="BA138">
        <v>93.33</v>
      </c>
      <c r="BB138">
        <v>78.33</v>
      </c>
      <c r="BC138">
        <v>28</v>
      </c>
      <c r="BD138">
        <v>70.5</v>
      </c>
      <c r="BE138">
        <f t="shared" si="5"/>
        <v>127.5</v>
      </c>
      <c r="BF138">
        <f t="shared" si="6"/>
        <v>80.5</v>
      </c>
      <c r="BG138" t="s">
        <v>758</v>
      </c>
    </row>
    <row r="139" spans="1:59" x14ac:dyDescent="0.3">
      <c r="A139" t="s">
        <v>262</v>
      </c>
      <c r="B139">
        <v>129347</v>
      </c>
      <c r="C139">
        <v>24355946</v>
      </c>
      <c r="D139" t="s">
        <v>263</v>
      </c>
      <c r="E139" t="s">
        <v>61</v>
      </c>
      <c r="F139" t="s">
        <v>66</v>
      </c>
      <c r="G139">
        <v>7.5</v>
      </c>
      <c r="H139">
        <v>10</v>
      </c>
      <c r="I139">
        <v>9.5</v>
      </c>
      <c r="K139" t="s">
        <v>63</v>
      </c>
      <c r="L139" t="s">
        <v>63</v>
      </c>
      <c r="M139" t="s">
        <v>63</v>
      </c>
      <c r="N139" t="s">
        <v>63</v>
      </c>
      <c r="P139" t="s">
        <v>63</v>
      </c>
      <c r="Q139" t="s">
        <v>63</v>
      </c>
      <c r="R139" t="s">
        <v>63</v>
      </c>
      <c r="S139" t="s">
        <v>63</v>
      </c>
      <c r="U139" t="s">
        <v>63</v>
      </c>
      <c r="V139" t="s">
        <v>63</v>
      </c>
      <c r="W139" t="s">
        <v>63</v>
      </c>
      <c r="X139" t="s">
        <v>63</v>
      </c>
      <c r="Z139" t="s">
        <v>63</v>
      </c>
      <c r="AA139" t="s">
        <v>63</v>
      </c>
      <c r="AB139" t="s">
        <v>63</v>
      </c>
      <c r="AC139" t="s">
        <v>63</v>
      </c>
      <c r="AD139" t="s">
        <v>63</v>
      </c>
      <c r="AE139">
        <v>130.5</v>
      </c>
      <c r="AF139">
        <v>10</v>
      </c>
      <c r="AG139">
        <v>90</v>
      </c>
      <c r="AH139">
        <v>90</v>
      </c>
      <c r="AI139">
        <v>90</v>
      </c>
      <c r="AJ139">
        <v>90</v>
      </c>
      <c r="AT139">
        <v>72.5</v>
      </c>
      <c r="AU139">
        <v>0</v>
      </c>
      <c r="AV139">
        <v>72.5</v>
      </c>
      <c r="AY139">
        <v>0</v>
      </c>
      <c r="AZ139">
        <v>0</v>
      </c>
      <c r="BA139">
        <v>90</v>
      </c>
      <c r="BB139">
        <v>78.33</v>
      </c>
      <c r="BC139">
        <v>27</v>
      </c>
      <c r="BD139">
        <v>70.5</v>
      </c>
      <c r="BE139">
        <f t="shared" si="5"/>
        <v>130.5</v>
      </c>
      <c r="BF139">
        <f t="shared" si="6"/>
        <v>80.5</v>
      </c>
      <c r="BG139" t="s">
        <v>758</v>
      </c>
    </row>
    <row r="140" spans="1:59" x14ac:dyDescent="0.3">
      <c r="A140" t="s">
        <v>266</v>
      </c>
      <c r="B140">
        <v>135173</v>
      </c>
      <c r="C140">
        <v>24462808</v>
      </c>
      <c r="D140" t="s">
        <v>267</v>
      </c>
      <c r="E140" t="s">
        <v>61</v>
      </c>
      <c r="F140" t="s">
        <v>69</v>
      </c>
      <c r="G140">
        <v>6.5</v>
      </c>
      <c r="H140">
        <v>10</v>
      </c>
      <c r="I140">
        <v>7.5</v>
      </c>
      <c r="J140" t="s">
        <v>63</v>
      </c>
      <c r="L140" t="s">
        <v>63</v>
      </c>
      <c r="M140" t="s">
        <v>63</v>
      </c>
      <c r="N140" t="s">
        <v>63</v>
      </c>
      <c r="O140" t="s">
        <v>63</v>
      </c>
      <c r="Q140" t="s">
        <v>63</v>
      </c>
      <c r="R140" t="s">
        <v>63</v>
      </c>
      <c r="S140" t="s">
        <v>63</v>
      </c>
      <c r="T140" t="s">
        <v>63</v>
      </c>
      <c r="V140" t="s">
        <v>63</v>
      </c>
      <c r="W140" t="s">
        <v>63</v>
      </c>
      <c r="X140" t="s">
        <v>63</v>
      </c>
      <c r="Y140" t="s">
        <v>63</v>
      </c>
      <c r="AA140" t="s">
        <v>63</v>
      </c>
      <c r="AB140" t="s">
        <v>63</v>
      </c>
      <c r="AC140" t="s">
        <v>63</v>
      </c>
      <c r="AD140" t="s">
        <v>63</v>
      </c>
      <c r="AE140">
        <v>139.5</v>
      </c>
      <c r="AF140">
        <v>10</v>
      </c>
      <c r="AG140">
        <v>80</v>
      </c>
      <c r="AH140">
        <v>80</v>
      </c>
      <c r="AI140">
        <v>80</v>
      </c>
      <c r="AJ140">
        <v>80</v>
      </c>
      <c r="AT140">
        <v>77.5</v>
      </c>
      <c r="AU140">
        <v>0</v>
      </c>
      <c r="AV140">
        <v>77.5</v>
      </c>
      <c r="AY140">
        <v>0</v>
      </c>
      <c r="AZ140">
        <v>0</v>
      </c>
      <c r="BA140">
        <v>80</v>
      </c>
      <c r="BB140">
        <v>78.33</v>
      </c>
      <c r="BC140">
        <v>24</v>
      </c>
      <c r="BD140">
        <v>70.5</v>
      </c>
      <c r="BE140">
        <f t="shared" si="5"/>
        <v>139.5</v>
      </c>
      <c r="BF140">
        <f t="shared" si="6"/>
        <v>80.5</v>
      </c>
      <c r="BG140" t="s">
        <v>758</v>
      </c>
    </row>
    <row r="141" spans="1:59" x14ac:dyDescent="0.3">
      <c r="A141" t="s">
        <v>584</v>
      </c>
      <c r="B141">
        <v>123484</v>
      </c>
      <c r="C141">
        <v>24276131</v>
      </c>
      <c r="D141" t="s">
        <v>585</v>
      </c>
      <c r="E141" t="s">
        <v>61</v>
      </c>
      <c r="F141" t="s">
        <v>77</v>
      </c>
      <c r="G141">
        <v>8</v>
      </c>
      <c r="H141">
        <v>10</v>
      </c>
      <c r="I141">
        <v>8.5</v>
      </c>
      <c r="J141" t="s">
        <v>63</v>
      </c>
      <c r="K141" t="s">
        <v>63</v>
      </c>
      <c r="L141" t="s">
        <v>63</v>
      </c>
      <c r="N141" t="s">
        <v>63</v>
      </c>
      <c r="O141" t="s">
        <v>63</v>
      </c>
      <c r="P141" t="s">
        <v>63</v>
      </c>
      <c r="Q141" t="s">
        <v>63</v>
      </c>
      <c r="S141" t="s">
        <v>63</v>
      </c>
      <c r="T141" t="s">
        <v>63</v>
      </c>
      <c r="U141" t="s">
        <v>63</v>
      </c>
      <c r="V141" t="s">
        <v>63</v>
      </c>
      <c r="X141" t="s">
        <v>63</v>
      </c>
      <c r="Y141" t="s">
        <v>63</v>
      </c>
      <c r="Z141" t="s">
        <v>63</v>
      </c>
      <c r="AA141" t="s">
        <v>63</v>
      </c>
      <c r="AC141" t="s">
        <v>63</v>
      </c>
      <c r="AD141" t="s">
        <v>63</v>
      </c>
      <c r="AE141">
        <v>131.5</v>
      </c>
      <c r="AF141">
        <v>10</v>
      </c>
      <c r="AG141">
        <v>88.33</v>
      </c>
      <c r="AH141">
        <v>88.33</v>
      </c>
      <c r="AI141">
        <v>88.33</v>
      </c>
      <c r="AJ141">
        <v>88.33</v>
      </c>
      <c r="AT141">
        <v>73.06</v>
      </c>
      <c r="AU141">
        <v>0</v>
      </c>
      <c r="AV141">
        <v>73.06</v>
      </c>
      <c r="AY141">
        <v>0</v>
      </c>
      <c r="AZ141">
        <v>0</v>
      </c>
      <c r="BA141">
        <v>88.33</v>
      </c>
      <c r="BB141">
        <v>78.150000000000006</v>
      </c>
      <c r="BC141">
        <v>26.5</v>
      </c>
      <c r="BD141">
        <v>70.33</v>
      </c>
      <c r="BE141">
        <f t="shared" si="5"/>
        <v>131.5</v>
      </c>
      <c r="BF141">
        <f t="shared" si="6"/>
        <v>80.333333333333343</v>
      </c>
      <c r="BG141" t="s">
        <v>758</v>
      </c>
    </row>
    <row r="142" spans="1:59" x14ac:dyDescent="0.3">
      <c r="A142" t="s">
        <v>256</v>
      </c>
      <c r="B142">
        <v>125627</v>
      </c>
      <c r="C142">
        <v>24304351</v>
      </c>
      <c r="D142" t="s">
        <v>257</v>
      </c>
      <c r="E142" t="s">
        <v>61</v>
      </c>
      <c r="F142" t="s">
        <v>69</v>
      </c>
      <c r="G142">
        <v>6</v>
      </c>
      <c r="H142">
        <v>7.5</v>
      </c>
      <c r="I142">
        <v>10</v>
      </c>
      <c r="J142" t="s">
        <v>63</v>
      </c>
      <c r="L142" t="s">
        <v>63</v>
      </c>
      <c r="M142" t="s">
        <v>63</v>
      </c>
      <c r="N142" t="s">
        <v>63</v>
      </c>
      <c r="O142" t="s">
        <v>63</v>
      </c>
      <c r="Q142" t="s">
        <v>63</v>
      </c>
      <c r="R142" t="s">
        <v>63</v>
      </c>
      <c r="S142" t="s">
        <v>63</v>
      </c>
      <c r="T142" t="s">
        <v>63</v>
      </c>
      <c r="V142" t="s">
        <v>63</v>
      </c>
      <c r="W142" t="s">
        <v>63</v>
      </c>
      <c r="X142" t="s">
        <v>63</v>
      </c>
      <c r="Y142" t="s">
        <v>63</v>
      </c>
      <c r="AA142" t="s">
        <v>63</v>
      </c>
      <c r="AB142" t="s">
        <v>63</v>
      </c>
      <c r="AC142" t="s">
        <v>63</v>
      </c>
      <c r="AD142" t="s">
        <v>63</v>
      </c>
      <c r="AE142">
        <v>140</v>
      </c>
      <c r="AF142">
        <v>10</v>
      </c>
      <c r="AG142">
        <v>78.33</v>
      </c>
      <c r="AH142">
        <v>78.33</v>
      </c>
      <c r="AI142">
        <v>78.33</v>
      </c>
      <c r="AJ142">
        <v>78.33</v>
      </c>
      <c r="AT142">
        <v>77.78</v>
      </c>
      <c r="AU142">
        <v>0</v>
      </c>
      <c r="AV142">
        <v>77.78</v>
      </c>
      <c r="AY142">
        <v>0</v>
      </c>
      <c r="AZ142">
        <v>0</v>
      </c>
      <c r="BA142">
        <v>78.33</v>
      </c>
      <c r="BB142">
        <v>77.959999999999994</v>
      </c>
      <c r="BC142">
        <v>23.5</v>
      </c>
      <c r="BD142">
        <v>70.17</v>
      </c>
      <c r="BE142">
        <f t="shared" si="5"/>
        <v>140</v>
      </c>
      <c r="BF142">
        <f t="shared" si="6"/>
        <v>80.166666666666657</v>
      </c>
      <c r="BG142" t="s">
        <v>758</v>
      </c>
    </row>
    <row r="143" spans="1:59" x14ac:dyDescent="0.3">
      <c r="A143" t="s">
        <v>724</v>
      </c>
      <c r="B143">
        <v>128302</v>
      </c>
      <c r="C143">
        <v>24342329</v>
      </c>
      <c r="D143" t="s">
        <v>725</v>
      </c>
      <c r="E143" t="s">
        <v>61</v>
      </c>
      <c r="F143" t="s">
        <v>66</v>
      </c>
      <c r="G143">
        <v>8.5</v>
      </c>
      <c r="H143">
        <v>10</v>
      </c>
      <c r="I143">
        <v>7</v>
      </c>
      <c r="K143" t="s">
        <v>63</v>
      </c>
      <c r="L143" t="s">
        <v>63</v>
      </c>
      <c r="M143" t="s">
        <v>63</v>
      </c>
      <c r="N143" t="s">
        <v>63</v>
      </c>
      <c r="P143" t="s">
        <v>63</v>
      </c>
      <c r="Q143" t="s">
        <v>63</v>
      </c>
      <c r="R143" t="s">
        <v>63</v>
      </c>
      <c r="S143" t="s">
        <v>63</v>
      </c>
      <c r="U143" t="s">
        <v>63</v>
      </c>
      <c r="V143" t="s">
        <v>63</v>
      </c>
      <c r="W143" t="s">
        <v>63</v>
      </c>
      <c r="X143" t="s">
        <v>63</v>
      </c>
      <c r="Z143" t="s">
        <v>63</v>
      </c>
      <c r="AA143" t="s">
        <v>63</v>
      </c>
      <c r="AB143" t="s">
        <v>63</v>
      </c>
      <c r="AC143" t="s">
        <v>63</v>
      </c>
      <c r="AD143" t="s">
        <v>63</v>
      </c>
      <c r="AE143">
        <v>134</v>
      </c>
      <c r="AF143">
        <v>10</v>
      </c>
      <c r="AG143">
        <v>85</v>
      </c>
      <c r="AH143">
        <v>85</v>
      </c>
      <c r="AI143">
        <v>85</v>
      </c>
      <c r="AJ143">
        <v>85</v>
      </c>
      <c r="AT143">
        <v>74.44</v>
      </c>
      <c r="AU143">
        <v>0</v>
      </c>
      <c r="AV143">
        <v>74.44</v>
      </c>
      <c r="AY143">
        <v>0</v>
      </c>
      <c r="AZ143">
        <v>0</v>
      </c>
      <c r="BA143">
        <v>85</v>
      </c>
      <c r="BB143">
        <v>77.959999999999994</v>
      </c>
      <c r="BC143">
        <v>25.5</v>
      </c>
      <c r="BD143">
        <v>70.17</v>
      </c>
      <c r="BE143">
        <f t="shared" si="5"/>
        <v>134</v>
      </c>
      <c r="BF143">
        <f t="shared" si="6"/>
        <v>80.166666666666657</v>
      </c>
      <c r="BG143" t="s">
        <v>758</v>
      </c>
    </row>
    <row r="144" spans="1:59" x14ac:dyDescent="0.3">
      <c r="A144" t="s">
        <v>480</v>
      </c>
      <c r="B144">
        <v>126190</v>
      </c>
      <c r="C144">
        <v>24312477</v>
      </c>
      <c r="D144" t="s">
        <v>481</v>
      </c>
      <c r="E144" t="s">
        <v>61</v>
      </c>
      <c r="F144" t="s">
        <v>72</v>
      </c>
      <c r="G144">
        <v>8</v>
      </c>
      <c r="H144">
        <v>10</v>
      </c>
      <c r="I144">
        <v>10</v>
      </c>
      <c r="J144" t="s">
        <v>63</v>
      </c>
      <c r="K144" t="s">
        <v>63</v>
      </c>
      <c r="M144" t="s">
        <v>63</v>
      </c>
      <c r="N144" t="s">
        <v>63</v>
      </c>
      <c r="O144" t="s">
        <v>63</v>
      </c>
      <c r="P144" t="s">
        <v>63</v>
      </c>
      <c r="R144" t="s">
        <v>63</v>
      </c>
      <c r="S144" t="s">
        <v>63</v>
      </c>
      <c r="T144" t="s">
        <v>63</v>
      </c>
      <c r="U144" t="s">
        <v>63</v>
      </c>
      <c r="W144" t="s">
        <v>63</v>
      </c>
      <c r="X144" t="s">
        <v>63</v>
      </c>
      <c r="Y144" t="s">
        <v>63</v>
      </c>
      <c r="Z144" t="s">
        <v>63</v>
      </c>
      <c r="AB144" t="s">
        <v>63</v>
      </c>
      <c r="AC144" t="s">
        <v>63</v>
      </c>
      <c r="AD144" t="s">
        <v>63</v>
      </c>
      <c r="AE144">
        <v>126</v>
      </c>
      <c r="AF144">
        <v>10</v>
      </c>
      <c r="AG144">
        <v>93.33</v>
      </c>
      <c r="AH144">
        <v>93.33</v>
      </c>
      <c r="AI144">
        <v>93.33</v>
      </c>
      <c r="AJ144">
        <v>93.33</v>
      </c>
      <c r="AT144">
        <v>70</v>
      </c>
      <c r="AU144">
        <v>0</v>
      </c>
      <c r="AV144">
        <v>70</v>
      </c>
      <c r="AY144">
        <v>0</v>
      </c>
      <c r="AZ144">
        <v>0</v>
      </c>
      <c r="BA144">
        <v>93.33</v>
      </c>
      <c r="BB144">
        <v>77.78</v>
      </c>
      <c r="BC144">
        <v>28</v>
      </c>
      <c r="BD144">
        <v>70</v>
      </c>
      <c r="BE144">
        <f t="shared" si="5"/>
        <v>126</v>
      </c>
      <c r="BF144">
        <f t="shared" si="6"/>
        <v>80</v>
      </c>
      <c r="BG144" t="s">
        <v>758</v>
      </c>
    </row>
    <row r="145" spans="1:59" x14ac:dyDescent="0.3">
      <c r="A145" t="s">
        <v>626</v>
      </c>
      <c r="B145">
        <v>133115</v>
      </c>
      <c r="C145">
        <v>24378318</v>
      </c>
      <c r="D145" t="s">
        <v>627</v>
      </c>
      <c r="E145" t="s">
        <v>61</v>
      </c>
      <c r="F145" t="s">
        <v>77</v>
      </c>
      <c r="G145">
        <v>6.5</v>
      </c>
      <c r="H145">
        <v>10</v>
      </c>
      <c r="I145">
        <v>9.5</v>
      </c>
      <c r="J145" t="s">
        <v>63</v>
      </c>
      <c r="K145" t="s">
        <v>63</v>
      </c>
      <c r="L145" t="s">
        <v>63</v>
      </c>
      <c r="N145" t="s">
        <v>63</v>
      </c>
      <c r="O145" t="s">
        <v>63</v>
      </c>
      <c r="P145" t="s">
        <v>63</v>
      </c>
      <c r="Q145" t="s">
        <v>63</v>
      </c>
      <c r="S145" t="s">
        <v>63</v>
      </c>
      <c r="T145" t="s">
        <v>63</v>
      </c>
      <c r="U145" t="s">
        <v>63</v>
      </c>
      <c r="V145" t="s">
        <v>63</v>
      </c>
      <c r="X145" t="s">
        <v>63</v>
      </c>
      <c r="Y145" t="s">
        <v>63</v>
      </c>
      <c r="Z145" t="s">
        <v>63</v>
      </c>
      <c r="AA145" t="s">
        <v>63</v>
      </c>
      <c r="AC145" t="s">
        <v>63</v>
      </c>
      <c r="AD145" t="s">
        <v>63</v>
      </c>
      <c r="AE145">
        <v>132</v>
      </c>
      <c r="AF145">
        <v>10</v>
      </c>
      <c r="AG145">
        <v>86.67</v>
      </c>
      <c r="AH145">
        <v>86.67</v>
      </c>
      <c r="AI145">
        <v>86.67</v>
      </c>
      <c r="AJ145">
        <v>86.67</v>
      </c>
      <c r="AT145">
        <v>73.33</v>
      </c>
      <c r="AU145">
        <v>0</v>
      </c>
      <c r="AV145">
        <v>73.33</v>
      </c>
      <c r="AY145">
        <v>0</v>
      </c>
      <c r="AZ145">
        <v>0</v>
      </c>
      <c r="BA145">
        <v>86.67</v>
      </c>
      <c r="BB145">
        <v>77.78</v>
      </c>
      <c r="BC145">
        <v>26</v>
      </c>
      <c r="BD145">
        <v>70</v>
      </c>
      <c r="BE145">
        <f t="shared" si="5"/>
        <v>132</v>
      </c>
      <c r="BF145">
        <f t="shared" si="6"/>
        <v>80</v>
      </c>
      <c r="BG145" t="s">
        <v>758</v>
      </c>
    </row>
    <row r="146" spans="1:59" x14ac:dyDescent="0.3">
      <c r="A146" t="s">
        <v>742</v>
      </c>
      <c r="B146">
        <v>133006</v>
      </c>
      <c r="C146">
        <v>24374595</v>
      </c>
      <c r="D146" t="s">
        <v>743</v>
      </c>
      <c r="E146" t="s">
        <v>61</v>
      </c>
      <c r="F146" t="s">
        <v>77</v>
      </c>
      <c r="G146">
        <v>5.75</v>
      </c>
      <c r="H146">
        <v>10</v>
      </c>
      <c r="I146">
        <v>9</v>
      </c>
      <c r="J146" t="s">
        <v>63</v>
      </c>
      <c r="K146" t="s">
        <v>63</v>
      </c>
      <c r="L146" t="s">
        <v>63</v>
      </c>
      <c r="N146" t="s">
        <v>63</v>
      </c>
      <c r="O146" t="s">
        <v>63</v>
      </c>
      <c r="P146" t="s">
        <v>63</v>
      </c>
      <c r="Q146" t="s">
        <v>63</v>
      </c>
      <c r="S146" t="s">
        <v>63</v>
      </c>
      <c r="T146" t="s">
        <v>63</v>
      </c>
      <c r="U146" t="s">
        <v>63</v>
      </c>
      <c r="V146" t="s">
        <v>63</v>
      </c>
      <c r="X146" t="s">
        <v>63</v>
      </c>
      <c r="Y146" t="s">
        <v>63</v>
      </c>
      <c r="Z146" t="s">
        <v>63</v>
      </c>
      <c r="AA146" t="s">
        <v>63</v>
      </c>
      <c r="AC146" t="s">
        <v>63</v>
      </c>
      <c r="AD146" t="s">
        <v>63</v>
      </c>
      <c r="AE146">
        <v>135.5</v>
      </c>
      <c r="AF146">
        <v>10</v>
      </c>
      <c r="AG146">
        <v>82.5</v>
      </c>
      <c r="AH146">
        <v>82.5</v>
      </c>
      <c r="AI146">
        <v>82.5</v>
      </c>
      <c r="AJ146">
        <v>82.5</v>
      </c>
      <c r="AT146">
        <v>75.28</v>
      </c>
      <c r="AU146">
        <v>0</v>
      </c>
      <c r="AV146">
        <v>75.28</v>
      </c>
      <c r="AY146">
        <v>0</v>
      </c>
      <c r="AZ146">
        <v>0</v>
      </c>
      <c r="BA146">
        <v>82.5</v>
      </c>
      <c r="BB146">
        <v>77.69</v>
      </c>
      <c r="BC146">
        <v>24.75</v>
      </c>
      <c r="BD146">
        <v>69.92</v>
      </c>
      <c r="BE146">
        <f t="shared" si="5"/>
        <v>135.5</v>
      </c>
      <c r="BF146">
        <f t="shared" si="6"/>
        <v>79.916666666666657</v>
      </c>
      <c r="BG146" t="s">
        <v>758</v>
      </c>
    </row>
    <row r="147" spans="1:59" x14ac:dyDescent="0.3">
      <c r="A147" t="s">
        <v>526</v>
      </c>
      <c r="B147">
        <v>123007</v>
      </c>
      <c r="C147">
        <v>24275315</v>
      </c>
      <c r="D147" t="s">
        <v>527</v>
      </c>
      <c r="E147" t="s">
        <v>61</v>
      </c>
      <c r="F147" t="s">
        <v>77</v>
      </c>
      <c r="G147">
        <v>9</v>
      </c>
      <c r="H147">
        <v>8.5</v>
      </c>
      <c r="I147">
        <v>10</v>
      </c>
      <c r="J147" t="s">
        <v>63</v>
      </c>
      <c r="K147" t="s">
        <v>63</v>
      </c>
      <c r="L147" t="s">
        <v>63</v>
      </c>
      <c r="N147" t="s">
        <v>63</v>
      </c>
      <c r="O147" t="s">
        <v>63</v>
      </c>
      <c r="P147" t="s">
        <v>63</v>
      </c>
      <c r="Q147" t="s">
        <v>63</v>
      </c>
      <c r="S147" t="s">
        <v>63</v>
      </c>
      <c r="T147" t="s">
        <v>63</v>
      </c>
      <c r="U147" t="s">
        <v>63</v>
      </c>
      <c r="V147" t="s">
        <v>63</v>
      </c>
      <c r="X147" t="s">
        <v>63</v>
      </c>
      <c r="Y147" t="s">
        <v>63</v>
      </c>
      <c r="Z147" t="s">
        <v>63</v>
      </c>
      <c r="AA147" t="s">
        <v>63</v>
      </c>
      <c r="AC147" t="s">
        <v>63</v>
      </c>
      <c r="AD147" t="s">
        <v>63</v>
      </c>
      <c r="AE147">
        <v>127</v>
      </c>
      <c r="AF147">
        <v>10</v>
      </c>
      <c r="AG147">
        <v>91.67</v>
      </c>
      <c r="AH147">
        <v>91.67</v>
      </c>
      <c r="AI147">
        <v>91.67</v>
      </c>
      <c r="AJ147">
        <v>91.67</v>
      </c>
      <c r="AT147">
        <v>70.56</v>
      </c>
      <c r="AU147">
        <v>0</v>
      </c>
      <c r="AV147">
        <v>70.56</v>
      </c>
      <c r="AY147">
        <v>0</v>
      </c>
      <c r="AZ147">
        <v>0</v>
      </c>
      <c r="BA147">
        <v>91.67</v>
      </c>
      <c r="BB147">
        <v>77.59</v>
      </c>
      <c r="BC147">
        <v>27.5</v>
      </c>
      <c r="BD147">
        <v>69.83</v>
      </c>
      <c r="BE147">
        <f t="shared" si="5"/>
        <v>127</v>
      </c>
      <c r="BF147">
        <f t="shared" si="6"/>
        <v>79.833333333333343</v>
      </c>
      <c r="BG147" t="s">
        <v>758</v>
      </c>
    </row>
    <row r="148" spans="1:59" x14ac:dyDescent="0.3">
      <c r="A148" t="s">
        <v>254</v>
      </c>
      <c r="B148">
        <v>123249</v>
      </c>
      <c r="C148">
        <v>24266033</v>
      </c>
      <c r="D148" t="s">
        <v>255</v>
      </c>
      <c r="E148" t="s">
        <v>61</v>
      </c>
      <c r="F148" t="s">
        <v>62</v>
      </c>
      <c r="G148">
        <v>7.5</v>
      </c>
      <c r="H148">
        <v>9.75</v>
      </c>
      <c r="I148">
        <v>10</v>
      </c>
      <c r="J148" t="s">
        <v>63</v>
      </c>
      <c r="K148" t="s">
        <v>63</v>
      </c>
      <c r="L148" t="s">
        <v>63</v>
      </c>
      <c r="M148" t="s">
        <v>63</v>
      </c>
      <c r="O148" t="s">
        <v>63</v>
      </c>
      <c r="P148" t="s">
        <v>63</v>
      </c>
      <c r="Q148" t="s">
        <v>63</v>
      </c>
      <c r="R148" t="s">
        <v>63</v>
      </c>
      <c r="T148" t="s">
        <v>63</v>
      </c>
      <c r="U148" t="s">
        <v>63</v>
      </c>
      <c r="V148" t="s">
        <v>63</v>
      </c>
      <c r="W148" t="s">
        <v>63</v>
      </c>
      <c r="Y148" t="s">
        <v>63</v>
      </c>
      <c r="Z148" t="s">
        <v>63</v>
      </c>
      <c r="AA148" t="s">
        <v>63</v>
      </c>
      <c r="AB148" t="s">
        <v>63</v>
      </c>
      <c r="AD148" t="s">
        <v>63</v>
      </c>
      <c r="AE148">
        <v>127.5</v>
      </c>
      <c r="AF148">
        <v>10</v>
      </c>
      <c r="AG148">
        <v>90.83</v>
      </c>
      <c r="AH148">
        <v>90.83</v>
      </c>
      <c r="AI148">
        <v>90.83</v>
      </c>
      <c r="AJ148">
        <v>90.83</v>
      </c>
      <c r="AT148">
        <v>70.83</v>
      </c>
      <c r="AU148">
        <v>0</v>
      </c>
      <c r="AV148">
        <v>70.83</v>
      </c>
      <c r="AY148">
        <v>0</v>
      </c>
      <c r="AZ148">
        <v>0</v>
      </c>
      <c r="BA148">
        <v>90.83</v>
      </c>
      <c r="BB148">
        <v>77.5</v>
      </c>
      <c r="BC148">
        <v>27.25</v>
      </c>
      <c r="BD148">
        <v>69.75</v>
      </c>
      <c r="BE148">
        <f t="shared" si="5"/>
        <v>127.5</v>
      </c>
      <c r="BF148">
        <f t="shared" si="6"/>
        <v>79.75</v>
      </c>
      <c r="BG148" t="s">
        <v>758</v>
      </c>
    </row>
    <row r="149" spans="1:59" x14ac:dyDescent="0.3">
      <c r="A149" t="s">
        <v>578</v>
      </c>
      <c r="B149">
        <v>127457</v>
      </c>
      <c r="C149">
        <v>24331381</v>
      </c>
      <c r="D149" t="s">
        <v>579</v>
      </c>
      <c r="E149" t="s">
        <v>61</v>
      </c>
      <c r="F149" t="s">
        <v>69</v>
      </c>
      <c r="G149">
        <v>6.25</v>
      </c>
      <c r="H149">
        <v>8</v>
      </c>
      <c r="I149">
        <v>10</v>
      </c>
      <c r="J149" t="s">
        <v>63</v>
      </c>
      <c r="L149" t="s">
        <v>63</v>
      </c>
      <c r="M149" t="s">
        <v>63</v>
      </c>
      <c r="N149" t="s">
        <v>63</v>
      </c>
      <c r="O149" t="s">
        <v>63</v>
      </c>
      <c r="Q149" t="s">
        <v>63</v>
      </c>
      <c r="R149" t="s">
        <v>63</v>
      </c>
      <c r="S149" t="s">
        <v>63</v>
      </c>
      <c r="T149" t="s">
        <v>63</v>
      </c>
      <c r="V149" t="s">
        <v>63</v>
      </c>
      <c r="W149" t="s">
        <v>63</v>
      </c>
      <c r="X149" t="s">
        <v>63</v>
      </c>
      <c r="Y149" t="s">
        <v>63</v>
      </c>
      <c r="AA149" t="s">
        <v>63</v>
      </c>
      <c r="AB149" t="s">
        <v>63</v>
      </c>
      <c r="AC149" t="s">
        <v>63</v>
      </c>
      <c r="AD149" t="s">
        <v>63</v>
      </c>
      <c r="AE149">
        <v>136.5</v>
      </c>
      <c r="AF149">
        <v>10</v>
      </c>
      <c r="AG149">
        <v>80.83</v>
      </c>
      <c r="AH149">
        <v>80.83</v>
      </c>
      <c r="AI149">
        <v>80.83</v>
      </c>
      <c r="AJ149">
        <v>80.83</v>
      </c>
      <c r="AT149">
        <v>75.83</v>
      </c>
      <c r="AU149">
        <v>0</v>
      </c>
      <c r="AV149">
        <v>75.83</v>
      </c>
      <c r="AY149">
        <v>0</v>
      </c>
      <c r="AZ149">
        <v>0</v>
      </c>
      <c r="BA149">
        <v>80.83</v>
      </c>
      <c r="BB149">
        <v>77.5</v>
      </c>
      <c r="BC149">
        <v>24.25</v>
      </c>
      <c r="BD149">
        <v>69.75</v>
      </c>
      <c r="BE149">
        <f t="shared" si="5"/>
        <v>136.5</v>
      </c>
      <c r="BF149">
        <f t="shared" si="6"/>
        <v>79.75</v>
      </c>
      <c r="BG149" t="s">
        <v>758</v>
      </c>
    </row>
    <row r="150" spans="1:59" x14ac:dyDescent="0.3">
      <c r="A150" t="s">
        <v>510</v>
      </c>
      <c r="B150">
        <v>126194</v>
      </c>
      <c r="C150">
        <v>24311134</v>
      </c>
      <c r="D150" t="s">
        <v>511</v>
      </c>
      <c r="E150" t="s">
        <v>61</v>
      </c>
      <c r="F150" t="s">
        <v>77</v>
      </c>
      <c r="G150">
        <v>7.5</v>
      </c>
      <c r="H150">
        <v>10</v>
      </c>
      <c r="I150">
        <v>10</v>
      </c>
      <c r="J150" t="s">
        <v>63</v>
      </c>
      <c r="K150" t="s">
        <v>63</v>
      </c>
      <c r="L150" t="s">
        <v>63</v>
      </c>
      <c r="N150" t="s">
        <v>63</v>
      </c>
      <c r="O150" t="s">
        <v>63</v>
      </c>
      <c r="P150" t="s">
        <v>63</v>
      </c>
      <c r="Q150" t="s">
        <v>63</v>
      </c>
      <c r="S150" t="s">
        <v>63</v>
      </c>
      <c r="T150" t="s">
        <v>63</v>
      </c>
      <c r="U150" t="s">
        <v>63</v>
      </c>
      <c r="V150" t="s">
        <v>63</v>
      </c>
      <c r="X150" t="s">
        <v>63</v>
      </c>
      <c r="Y150" t="s">
        <v>63</v>
      </c>
      <c r="Z150" t="s">
        <v>63</v>
      </c>
      <c r="AA150" t="s">
        <v>63</v>
      </c>
      <c r="AC150" t="s">
        <v>63</v>
      </c>
      <c r="AD150" t="s">
        <v>63</v>
      </c>
      <c r="AE150">
        <v>126.5</v>
      </c>
      <c r="AF150">
        <v>10</v>
      </c>
      <c r="AG150">
        <v>91.67</v>
      </c>
      <c r="AH150">
        <v>91.67</v>
      </c>
      <c r="AI150">
        <v>91.67</v>
      </c>
      <c r="AJ150">
        <v>91.67</v>
      </c>
      <c r="AT150">
        <v>70.28</v>
      </c>
      <c r="AU150">
        <v>0</v>
      </c>
      <c r="AV150">
        <v>70.28</v>
      </c>
      <c r="AY150">
        <v>0</v>
      </c>
      <c r="AZ150">
        <v>0</v>
      </c>
      <c r="BA150">
        <v>91.67</v>
      </c>
      <c r="BB150">
        <v>77.41</v>
      </c>
      <c r="BC150">
        <v>27.5</v>
      </c>
      <c r="BD150">
        <v>69.67</v>
      </c>
      <c r="BE150">
        <f t="shared" si="5"/>
        <v>126.5</v>
      </c>
      <c r="BF150">
        <f t="shared" si="6"/>
        <v>79.666666666666657</v>
      </c>
      <c r="BG150" t="s">
        <v>758</v>
      </c>
    </row>
    <row r="151" spans="1:59" x14ac:dyDescent="0.3">
      <c r="A151" t="s">
        <v>512</v>
      </c>
      <c r="B151">
        <v>128891</v>
      </c>
      <c r="C151">
        <v>24351152</v>
      </c>
      <c r="D151" t="s">
        <v>513</v>
      </c>
      <c r="E151" t="s">
        <v>61</v>
      </c>
      <c r="F151" t="s">
        <v>69</v>
      </c>
      <c r="G151">
        <v>7.5</v>
      </c>
      <c r="H151">
        <v>9.5</v>
      </c>
      <c r="I151">
        <v>10</v>
      </c>
      <c r="J151" t="s">
        <v>63</v>
      </c>
      <c r="L151" t="s">
        <v>63</v>
      </c>
      <c r="M151" t="s">
        <v>63</v>
      </c>
      <c r="N151" t="s">
        <v>63</v>
      </c>
      <c r="O151" t="s">
        <v>63</v>
      </c>
      <c r="Q151" t="s">
        <v>63</v>
      </c>
      <c r="R151" t="s">
        <v>63</v>
      </c>
      <c r="S151" t="s">
        <v>63</v>
      </c>
      <c r="T151" t="s">
        <v>63</v>
      </c>
      <c r="V151" t="s">
        <v>63</v>
      </c>
      <c r="W151" t="s">
        <v>63</v>
      </c>
      <c r="X151" t="s">
        <v>63</v>
      </c>
      <c r="Y151" t="s">
        <v>63</v>
      </c>
      <c r="AA151" t="s">
        <v>63</v>
      </c>
      <c r="AB151" t="s">
        <v>63</v>
      </c>
      <c r="AC151" t="s">
        <v>63</v>
      </c>
      <c r="AD151" t="s">
        <v>63</v>
      </c>
      <c r="AE151">
        <v>128</v>
      </c>
      <c r="AF151">
        <v>10</v>
      </c>
      <c r="AG151">
        <v>90</v>
      </c>
      <c r="AH151">
        <v>90</v>
      </c>
      <c r="AI151">
        <v>90</v>
      </c>
      <c r="AJ151">
        <v>90</v>
      </c>
      <c r="AT151">
        <v>71.11</v>
      </c>
      <c r="AU151">
        <v>0</v>
      </c>
      <c r="AV151">
        <v>71.11</v>
      </c>
      <c r="AY151">
        <v>0</v>
      </c>
      <c r="AZ151">
        <v>0</v>
      </c>
      <c r="BA151">
        <v>90</v>
      </c>
      <c r="BB151">
        <v>77.41</v>
      </c>
      <c r="BC151">
        <v>27</v>
      </c>
      <c r="BD151">
        <v>69.67</v>
      </c>
      <c r="BE151">
        <f t="shared" si="5"/>
        <v>128</v>
      </c>
      <c r="BF151">
        <f t="shared" si="6"/>
        <v>79.666666666666657</v>
      </c>
      <c r="BG151" t="s">
        <v>758</v>
      </c>
    </row>
    <row r="152" spans="1:59" x14ac:dyDescent="0.3">
      <c r="A152" t="s">
        <v>556</v>
      </c>
      <c r="B152">
        <v>127979</v>
      </c>
      <c r="C152">
        <v>24338028</v>
      </c>
      <c r="D152" t="s">
        <v>557</v>
      </c>
      <c r="E152" t="s">
        <v>61</v>
      </c>
      <c r="F152" t="s">
        <v>66</v>
      </c>
      <c r="G152">
        <v>8.5</v>
      </c>
      <c r="H152">
        <v>10</v>
      </c>
      <c r="I152">
        <v>10</v>
      </c>
      <c r="K152" t="s">
        <v>63</v>
      </c>
      <c r="L152" t="s">
        <v>63</v>
      </c>
      <c r="M152" t="s">
        <v>63</v>
      </c>
      <c r="N152" t="s">
        <v>63</v>
      </c>
      <c r="P152" t="s">
        <v>63</v>
      </c>
      <c r="Q152" t="s">
        <v>63</v>
      </c>
      <c r="R152" t="s">
        <v>63</v>
      </c>
      <c r="S152" t="s">
        <v>63</v>
      </c>
      <c r="U152" t="s">
        <v>63</v>
      </c>
      <c r="V152" t="s">
        <v>63</v>
      </c>
      <c r="W152" t="s">
        <v>63</v>
      </c>
      <c r="X152" t="s">
        <v>63</v>
      </c>
      <c r="Z152" t="s">
        <v>63</v>
      </c>
      <c r="AA152" t="s">
        <v>63</v>
      </c>
      <c r="AB152" t="s">
        <v>63</v>
      </c>
      <c r="AC152" t="s">
        <v>63</v>
      </c>
      <c r="AD152" t="s">
        <v>63</v>
      </c>
      <c r="AE152">
        <v>123.5</v>
      </c>
      <c r="AF152">
        <v>10</v>
      </c>
      <c r="AG152">
        <v>95</v>
      </c>
      <c r="AH152">
        <v>95</v>
      </c>
      <c r="AI152">
        <v>95</v>
      </c>
      <c r="AJ152">
        <v>95</v>
      </c>
      <c r="AT152">
        <v>68.61</v>
      </c>
      <c r="AU152">
        <v>0</v>
      </c>
      <c r="AV152">
        <v>68.61</v>
      </c>
      <c r="AY152">
        <v>0</v>
      </c>
      <c r="AZ152">
        <v>0</v>
      </c>
      <c r="BA152">
        <v>95</v>
      </c>
      <c r="BB152">
        <v>77.41</v>
      </c>
      <c r="BC152">
        <v>28.5</v>
      </c>
      <c r="BD152">
        <v>69.67</v>
      </c>
      <c r="BE152">
        <f t="shared" si="5"/>
        <v>123.5</v>
      </c>
      <c r="BF152">
        <f t="shared" si="6"/>
        <v>79.666666666666657</v>
      </c>
      <c r="BG152" t="s">
        <v>758</v>
      </c>
    </row>
    <row r="153" spans="1:59" x14ac:dyDescent="0.3">
      <c r="A153" t="s">
        <v>564</v>
      </c>
      <c r="B153">
        <v>126195</v>
      </c>
      <c r="C153">
        <v>24311151</v>
      </c>
      <c r="D153" t="s">
        <v>565</v>
      </c>
      <c r="E153" t="s">
        <v>61</v>
      </c>
      <c r="F153" t="s">
        <v>77</v>
      </c>
      <c r="G153">
        <v>8</v>
      </c>
      <c r="H153">
        <v>7.5</v>
      </c>
      <c r="I153">
        <v>9.5</v>
      </c>
      <c r="J153" t="s">
        <v>63</v>
      </c>
      <c r="K153" t="s">
        <v>63</v>
      </c>
      <c r="L153" t="s">
        <v>63</v>
      </c>
      <c r="N153" t="s">
        <v>63</v>
      </c>
      <c r="O153" t="s">
        <v>63</v>
      </c>
      <c r="P153" t="s">
        <v>63</v>
      </c>
      <c r="Q153" t="s">
        <v>63</v>
      </c>
      <c r="S153" t="s">
        <v>63</v>
      </c>
      <c r="T153" t="s">
        <v>63</v>
      </c>
      <c r="U153" t="s">
        <v>63</v>
      </c>
      <c r="V153" t="s">
        <v>63</v>
      </c>
      <c r="X153" t="s">
        <v>63</v>
      </c>
      <c r="Y153" t="s">
        <v>63</v>
      </c>
      <c r="Z153" t="s">
        <v>63</v>
      </c>
      <c r="AA153" t="s">
        <v>63</v>
      </c>
      <c r="AC153" t="s">
        <v>63</v>
      </c>
      <c r="AD153" t="s">
        <v>63</v>
      </c>
      <c r="AE153">
        <v>134</v>
      </c>
      <c r="AF153">
        <v>10</v>
      </c>
      <c r="AG153">
        <v>83.33</v>
      </c>
      <c r="AH153">
        <v>83.33</v>
      </c>
      <c r="AI153">
        <v>83.33</v>
      </c>
      <c r="AJ153">
        <v>83.33</v>
      </c>
      <c r="AT153">
        <v>74.44</v>
      </c>
      <c r="AU153">
        <v>0</v>
      </c>
      <c r="AV153">
        <v>74.44</v>
      </c>
      <c r="AY153">
        <v>0</v>
      </c>
      <c r="AZ153">
        <v>0</v>
      </c>
      <c r="BA153">
        <v>83.33</v>
      </c>
      <c r="BB153">
        <v>77.41</v>
      </c>
      <c r="BC153">
        <v>25</v>
      </c>
      <c r="BD153">
        <v>69.67</v>
      </c>
      <c r="BE153">
        <f t="shared" si="5"/>
        <v>134</v>
      </c>
      <c r="BF153">
        <f t="shared" si="6"/>
        <v>79.666666666666657</v>
      </c>
      <c r="BG153" t="s">
        <v>758</v>
      </c>
    </row>
    <row r="154" spans="1:59" x14ac:dyDescent="0.3">
      <c r="A154" t="s">
        <v>468</v>
      </c>
      <c r="B154">
        <v>126638</v>
      </c>
      <c r="C154">
        <v>24319107</v>
      </c>
      <c r="D154" t="s">
        <v>469</v>
      </c>
      <c r="E154" t="s">
        <v>61</v>
      </c>
      <c r="F154" t="s">
        <v>77</v>
      </c>
      <c r="G154">
        <v>9</v>
      </c>
      <c r="H154">
        <v>9.75</v>
      </c>
      <c r="I154">
        <v>10</v>
      </c>
      <c r="J154" t="s">
        <v>63</v>
      </c>
      <c r="K154" t="s">
        <v>63</v>
      </c>
      <c r="L154" t="s">
        <v>63</v>
      </c>
      <c r="N154" t="s">
        <v>63</v>
      </c>
      <c r="O154" t="s">
        <v>63</v>
      </c>
      <c r="P154" t="s">
        <v>63</v>
      </c>
      <c r="Q154" t="s">
        <v>63</v>
      </c>
      <c r="S154" t="s">
        <v>63</v>
      </c>
      <c r="T154" t="s">
        <v>63</v>
      </c>
      <c r="U154" t="s">
        <v>63</v>
      </c>
      <c r="V154" t="s">
        <v>63</v>
      </c>
      <c r="X154" t="s">
        <v>63</v>
      </c>
      <c r="Y154" t="s">
        <v>63</v>
      </c>
      <c r="Z154" t="s">
        <v>63</v>
      </c>
      <c r="AA154" t="s">
        <v>63</v>
      </c>
      <c r="AC154" t="s">
        <v>63</v>
      </c>
      <c r="AD154" t="s">
        <v>63</v>
      </c>
      <c r="AE154">
        <v>122.5</v>
      </c>
      <c r="AF154">
        <v>10</v>
      </c>
      <c r="AG154">
        <v>95.83</v>
      </c>
      <c r="AH154">
        <v>95.83</v>
      </c>
      <c r="AI154">
        <v>95.83</v>
      </c>
      <c r="AJ154">
        <v>95.83</v>
      </c>
      <c r="AT154">
        <v>68.06</v>
      </c>
      <c r="AU154">
        <v>0</v>
      </c>
      <c r="AV154">
        <v>68.06</v>
      </c>
      <c r="AY154">
        <v>0</v>
      </c>
      <c r="AZ154">
        <v>0</v>
      </c>
      <c r="BA154">
        <v>95.83</v>
      </c>
      <c r="BB154">
        <v>77.31</v>
      </c>
      <c r="BC154">
        <v>28.75</v>
      </c>
      <c r="BD154">
        <v>69.58</v>
      </c>
      <c r="BE154">
        <f t="shared" si="5"/>
        <v>122.5</v>
      </c>
      <c r="BF154">
        <f t="shared" si="6"/>
        <v>79.583333333333343</v>
      </c>
      <c r="BG154" t="s">
        <v>758</v>
      </c>
    </row>
    <row r="155" spans="1:59" x14ac:dyDescent="0.3">
      <c r="A155" t="s">
        <v>236</v>
      </c>
      <c r="B155">
        <v>130015</v>
      </c>
      <c r="C155">
        <v>24361182</v>
      </c>
      <c r="D155" t="s">
        <v>237</v>
      </c>
      <c r="E155" t="s">
        <v>61</v>
      </c>
      <c r="F155" t="s">
        <v>72</v>
      </c>
      <c r="G155">
        <v>8</v>
      </c>
      <c r="H155">
        <v>10</v>
      </c>
      <c r="I155">
        <v>10</v>
      </c>
      <c r="J155" t="s">
        <v>63</v>
      </c>
      <c r="K155" t="s">
        <v>63</v>
      </c>
      <c r="M155" t="s">
        <v>63</v>
      </c>
      <c r="N155" t="s">
        <v>63</v>
      </c>
      <c r="O155" t="s">
        <v>63</v>
      </c>
      <c r="P155" t="s">
        <v>63</v>
      </c>
      <c r="R155" t="s">
        <v>63</v>
      </c>
      <c r="S155" t="s">
        <v>63</v>
      </c>
      <c r="T155" t="s">
        <v>63</v>
      </c>
      <c r="U155" t="s">
        <v>63</v>
      </c>
      <c r="W155" t="s">
        <v>63</v>
      </c>
      <c r="X155" t="s">
        <v>63</v>
      </c>
      <c r="Y155" t="s">
        <v>63</v>
      </c>
      <c r="Z155" t="s">
        <v>63</v>
      </c>
      <c r="AB155" t="s">
        <v>63</v>
      </c>
      <c r="AC155" t="s">
        <v>63</v>
      </c>
      <c r="AD155" t="s">
        <v>63</v>
      </c>
      <c r="AE155">
        <v>124.5</v>
      </c>
      <c r="AF155">
        <v>10</v>
      </c>
      <c r="AG155">
        <v>93.33</v>
      </c>
      <c r="AH155">
        <v>93.33</v>
      </c>
      <c r="AI155">
        <v>93.33</v>
      </c>
      <c r="AJ155">
        <v>93.33</v>
      </c>
      <c r="AT155">
        <v>69.17</v>
      </c>
      <c r="AU155">
        <v>0</v>
      </c>
      <c r="AV155">
        <v>69.17</v>
      </c>
      <c r="AY155">
        <v>0</v>
      </c>
      <c r="AZ155">
        <v>0</v>
      </c>
      <c r="BA155">
        <v>93.33</v>
      </c>
      <c r="BB155">
        <v>77.22</v>
      </c>
      <c r="BC155">
        <v>28</v>
      </c>
      <c r="BD155">
        <v>69.5</v>
      </c>
      <c r="BE155">
        <f t="shared" si="5"/>
        <v>124.5</v>
      </c>
      <c r="BF155">
        <f t="shared" si="6"/>
        <v>79.5</v>
      </c>
      <c r="BG155" t="s">
        <v>758</v>
      </c>
    </row>
    <row r="156" spans="1:59" x14ac:dyDescent="0.3">
      <c r="A156" t="s">
        <v>476</v>
      </c>
      <c r="B156">
        <v>127591</v>
      </c>
      <c r="C156">
        <v>24332928</v>
      </c>
      <c r="D156" t="s">
        <v>477</v>
      </c>
      <c r="E156" t="s">
        <v>61</v>
      </c>
      <c r="F156" t="s">
        <v>66</v>
      </c>
      <c r="G156">
        <v>7</v>
      </c>
      <c r="H156">
        <v>10</v>
      </c>
      <c r="I156">
        <v>10</v>
      </c>
      <c r="K156" t="s">
        <v>63</v>
      </c>
      <c r="L156" t="s">
        <v>63</v>
      </c>
      <c r="M156" t="s">
        <v>63</v>
      </c>
      <c r="N156" t="s">
        <v>63</v>
      </c>
      <c r="P156" t="s">
        <v>63</v>
      </c>
      <c r="Q156" t="s">
        <v>63</v>
      </c>
      <c r="R156" t="s">
        <v>63</v>
      </c>
      <c r="S156" t="s">
        <v>63</v>
      </c>
      <c r="U156" t="s">
        <v>63</v>
      </c>
      <c r="V156" t="s">
        <v>63</v>
      </c>
      <c r="W156" t="s">
        <v>63</v>
      </c>
      <c r="X156" t="s">
        <v>63</v>
      </c>
      <c r="Z156" t="s">
        <v>63</v>
      </c>
      <c r="AA156" t="s">
        <v>63</v>
      </c>
      <c r="AB156" t="s">
        <v>63</v>
      </c>
      <c r="AC156" t="s">
        <v>63</v>
      </c>
      <c r="AD156" t="s">
        <v>63</v>
      </c>
      <c r="AE156">
        <v>127.5</v>
      </c>
      <c r="AF156">
        <v>10</v>
      </c>
      <c r="AG156">
        <v>90</v>
      </c>
      <c r="AH156">
        <v>90</v>
      </c>
      <c r="AI156">
        <v>90</v>
      </c>
      <c r="AJ156">
        <v>90</v>
      </c>
      <c r="AT156">
        <v>70.83</v>
      </c>
      <c r="AU156">
        <v>0</v>
      </c>
      <c r="AV156">
        <v>70.83</v>
      </c>
      <c r="AY156">
        <v>0</v>
      </c>
      <c r="AZ156">
        <v>0</v>
      </c>
      <c r="BA156">
        <v>90</v>
      </c>
      <c r="BB156">
        <v>77.22</v>
      </c>
      <c r="BC156">
        <v>27</v>
      </c>
      <c r="BD156">
        <v>69.5</v>
      </c>
      <c r="BE156">
        <f t="shared" si="5"/>
        <v>127.5</v>
      </c>
      <c r="BF156">
        <f t="shared" si="6"/>
        <v>79.5</v>
      </c>
      <c r="BG156" t="s">
        <v>758</v>
      </c>
    </row>
    <row r="157" spans="1:59" x14ac:dyDescent="0.3">
      <c r="A157" t="s">
        <v>268</v>
      </c>
      <c r="B157">
        <v>127616</v>
      </c>
      <c r="C157">
        <v>24332911</v>
      </c>
      <c r="D157" t="s">
        <v>269</v>
      </c>
      <c r="E157" t="s">
        <v>61</v>
      </c>
      <c r="F157" t="s">
        <v>72</v>
      </c>
      <c r="G157">
        <v>8.25</v>
      </c>
      <c r="H157">
        <v>10</v>
      </c>
      <c r="I157">
        <v>10</v>
      </c>
      <c r="J157" t="s">
        <v>63</v>
      </c>
      <c r="K157" t="s">
        <v>63</v>
      </c>
      <c r="M157" t="s">
        <v>63</v>
      </c>
      <c r="N157" t="s">
        <v>63</v>
      </c>
      <c r="O157" t="s">
        <v>63</v>
      </c>
      <c r="P157" t="s">
        <v>63</v>
      </c>
      <c r="R157" t="s">
        <v>63</v>
      </c>
      <c r="S157" t="s">
        <v>63</v>
      </c>
      <c r="T157" t="s">
        <v>63</v>
      </c>
      <c r="U157" t="s">
        <v>63</v>
      </c>
      <c r="W157" t="s">
        <v>63</v>
      </c>
      <c r="X157" t="s">
        <v>63</v>
      </c>
      <c r="Y157" t="s">
        <v>63</v>
      </c>
      <c r="Z157" t="s">
        <v>63</v>
      </c>
      <c r="AB157" t="s">
        <v>63</v>
      </c>
      <c r="AC157" t="s">
        <v>63</v>
      </c>
      <c r="AD157" t="s">
        <v>63</v>
      </c>
      <c r="AE157">
        <v>123.5</v>
      </c>
      <c r="AF157">
        <v>10</v>
      </c>
      <c r="AG157">
        <v>94.17</v>
      </c>
      <c r="AH157">
        <v>94.17</v>
      </c>
      <c r="AI157">
        <v>94.17</v>
      </c>
      <c r="AJ157">
        <v>94.17</v>
      </c>
      <c r="AT157">
        <v>68.61</v>
      </c>
      <c r="AU157">
        <v>0</v>
      </c>
      <c r="AV157">
        <v>68.61</v>
      </c>
      <c r="AY157">
        <v>0</v>
      </c>
      <c r="AZ157">
        <v>0</v>
      </c>
      <c r="BA157">
        <v>94.17</v>
      </c>
      <c r="BB157">
        <v>77.13</v>
      </c>
      <c r="BC157">
        <v>28.25</v>
      </c>
      <c r="BD157">
        <v>69.42</v>
      </c>
      <c r="BE157">
        <f t="shared" si="5"/>
        <v>123.5</v>
      </c>
      <c r="BF157">
        <f t="shared" si="6"/>
        <v>79.416666666666657</v>
      </c>
      <c r="BG157" t="s">
        <v>758</v>
      </c>
    </row>
    <row r="158" spans="1:59" x14ac:dyDescent="0.3">
      <c r="A158" t="s">
        <v>488</v>
      </c>
      <c r="B158">
        <v>123415</v>
      </c>
      <c r="C158">
        <v>24276199</v>
      </c>
      <c r="D158" t="s">
        <v>489</v>
      </c>
      <c r="E158" t="s">
        <v>61</v>
      </c>
      <c r="F158" t="s">
        <v>69</v>
      </c>
      <c r="G158">
        <v>6.25</v>
      </c>
      <c r="H158">
        <v>10</v>
      </c>
      <c r="I158">
        <v>9</v>
      </c>
      <c r="J158" t="s">
        <v>63</v>
      </c>
      <c r="L158" t="s">
        <v>63</v>
      </c>
      <c r="M158" t="s">
        <v>63</v>
      </c>
      <c r="N158" t="s">
        <v>63</v>
      </c>
      <c r="O158" t="s">
        <v>63</v>
      </c>
      <c r="Q158" t="s">
        <v>63</v>
      </c>
      <c r="R158" t="s">
        <v>63</v>
      </c>
      <c r="S158" t="s">
        <v>63</v>
      </c>
      <c r="T158" t="s">
        <v>63</v>
      </c>
      <c r="V158" t="s">
        <v>63</v>
      </c>
      <c r="W158" t="s">
        <v>63</v>
      </c>
      <c r="X158" t="s">
        <v>63</v>
      </c>
      <c r="Y158" t="s">
        <v>63</v>
      </c>
      <c r="AA158" t="s">
        <v>63</v>
      </c>
      <c r="AB158" t="s">
        <v>63</v>
      </c>
      <c r="AC158" t="s">
        <v>63</v>
      </c>
      <c r="AD158" t="s">
        <v>63</v>
      </c>
      <c r="AE158">
        <v>132.5</v>
      </c>
      <c r="AF158">
        <v>10</v>
      </c>
      <c r="AG158">
        <v>84.17</v>
      </c>
      <c r="AH158">
        <v>84.17</v>
      </c>
      <c r="AI158">
        <v>84.17</v>
      </c>
      <c r="AJ158">
        <v>84.17</v>
      </c>
      <c r="AT158">
        <v>73.61</v>
      </c>
      <c r="AU158">
        <v>0</v>
      </c>
      <c r="AV158">
        <v>73.61</v>
      </c>
      <c r="AY158">
        <v>0</v>
      </c>
      <c r="AZ158">
        <v>0</v>
      </c>
      <c r="BA158">
        <v>84.17</v>
      </c>
      <c r="BB158">
        <v>77.13</v>
      </c>
      <c r="BC158">
        <v>25.25</v>
      </c>
      <c r="BD158">
        <v>69.42</v>
      </c>
      <c r="BE158">
        <f t="shared" si="5"/>
        <v>132.5</v>
      </c>
      <c r="BF158">
        <f t="shared" si="6"/>
        <v>79.416666666666657</v>
      </c>
      <c r="BG158" t="s">
        <v>758</v>
      </c>
    </row>
    <row r="159" spans="1:59" x14ac:dyDescent="0.3">
      <c r="A159" t="s">
        <v>78</v>
      </c>
      <c r="B159">
        <v>134286</v>
      </c>
      <c r="C159">
        <v>24387226</v>
      </c>
      <c r="D159" t="s">
        <v>79</v>
      </c>
      <c r="E159" t="s">
        <v>61</v>
      </c>
      <c r="F159" t="s">
        <v>62</v>
      </c>
      <c r="G159">
        <v>8</v>
      </c>
      <c r="H159">
        <v>10</v>
      </c>
      <c r="I159">
        <v>9.5</v>
      </c>
      <c r="J159" t="s">
        <v>63</v>
      </c>
      <c r="K159" t="s">
        <v>63</v>
      </c>
      <c r="L159" t="s">
        <v>63</v>
      </c>
      <c r="M159" t="s">
        <v>63</v>
      </c>
      <c r="O159" t="s">
        <v>63</v>
      </c>
      <c r="P159" t="s">
        <v>63</v>
      </c>
      <c r="Q159" t="s">
        <v>63</v>
      </c>
      <c r="R159" t="s">
        <v>63</v>
      </c>
      <c r="T159" t="s">
        <v>63</v>
      </c>
      <c r="U159" t="s">
        <v>63</v>
      </c>
      <c r="V159" t="s">
        <v>63</v>
      </c>
      <c r="W159" t="s">
        <v>63</v>
      </c>
      <c r="Y159" t="s">
        <v>63</v>
      </c>
      <c r="Z159" t="s">
        <v>63</v>
      </c>
      <c r="AA159" t="s">
        <v>63</v>
      </c>
      <c r="AB159" t="s">
        <v>63</v>
      </c>
      <c r="AD159" t="s">
        <v>63</v>
      </c>
      <c r="AE159">
        <v>125.5</v>
      </c>
      <c r="AF159">
        <v>10</v>
      </c>
      <c r="AG159">
        <v>91.67</v>
      </c>
      <c r="AH159">
        <v>91.67</v>
      </c>
      <c r="AI159">
        <v>91.67</v>
      </c>
      <c r="AJ159">
        <v>91.67</v>
      </c>
      <c r="AT159">
        <v>69.72</v>
      </c>
      <c r="AU159">
        <v>0</v>
      </c>
      <c r="AV159">
        <v>69.72</v>
      </c>
      <c r="AY159">
        <v>0</v>
      </c>
      <c r="AZ159">
        <v>0</v>
      </c>
      <c r="BA159">
        <v>91.67</v>
      </c>
      <c r="BB159">
        <v>77.040000000000006</v>
      </c>
      <c r="BC159">
        <v>27.5</v>
      </c>
      <c r="BD159">
        <v>69.33</v>
      </c>
      <c r="BE159">
        <f t="shared" si="5"/>
        <v>125.5</v>
      </c>
      <c r="BF159">
        <f t="shared" si="6"/>
        <v>79.333333333333343</v>
      </c>
      <c r="BG159" t="s">
        <v>758</v>
      </c>
    </row>
    <row r="160" spans="1:59" x14ac:dyDescent="0.3">
      <c r="A160" t="s">
        <v>232</v>
      </c>
      <c r="B160">
        <v>31267</v>
      </c>
      <c r="C160">
        <v>17055573</v>
      </c>
      <c r="D160" t="s">
        <v>233</v>
      </c>
      <c r="E160" t="s">
        <v>61</v>
      </c>
      <c r="F160" t="s">
        <v>69</v>
      </c>
      <c r="G160">
        <v>7</v>
      </c>
      <c r="H160">
        <v>10</v>
      </c>
      <c r="I160">
        <v>10</v>
      </c>
      <c r="J160" t="s">
        <v>63</v>
      </c>
      <c r="L160" t="s">
        <v>63</v>
      </c>
      <c r="M160" t="s">
        <v>63</v>
      </c>
      <c r="N160" t="s">
        <v>63</v>
      </c>
      <c r="O160" t="s">
        <v>63</v>
      </c>
      <c r="Q160" t="s">
        <v>63</v>
      </c>
      <c r="R160" t="s">
        <v>63</v>
      </c>
      <c r="S160" t="s">
        <v>63</v>
      </c>
      <c r="T160" t="s">
        <v>63</v>
      </c>
      <c r="V160" t="s">
        <v>63</v>
      </c>
      <c r="W160" t="s">
        <v>63</v>
      </c>
      <c r="X160" t="s">
        <v>63</v>
      </c>
      <c r="Y160" t="s">
        <v>63</v>
      </c>
      <c r="AA160" t="s">
        <v>63</v>
      </c>
      <c r="AB160" t="s">
        <v>63</v>
      </c>
      <c r="AC160" t="s">
        <v>63</v>
      </c>
      <c r="AD160">
        <v>127</v>
      </c>
      <c r="AF160">
        <v>10</v>
      </c>
      <c r="AG160">
        <v>90</v>
      </c>
      <c r="AH160">
        <v>90</v>
      </c>
      <c r="AI160">
        <v>90</v>
      </c>
      <c r="AJ160">
        <v>90</v>
      </c>
      <c r="AT160">
        <v>70.56</v>
      </c>
      <c r="AU160">
        <v>0</v>
      </c>
      <c r="AV160">
        <v>35.28</v>
      </c>
      <c r="AY160">
        <v>0</v>
      </c>
      <c r="AZ160">
        <v>0</v>
      </c>
      <c r="BA160">
        <v>90</v>
      </c>
      <c r="BB160">
        <v>77.040000000000006</v>
      </c>
      <c r="BC160">
        <v>27</v>
      </c>
      <c r="BD160">
        <v>48.17</v>
      </c>
      <c r="BE160">
        <f t="shared" si="5"/>
        <v>127</v>
      </c>
      <c r="BF160">
        <f t="shared" si="6"/>
        <v>79.333333333333343</v>
      </c>
      <c r="BG160" t="s">
        <v>758</v>
      </c>
    </row>
    <row r="161" spans="1:59" x14ac:dyDescent="0.3">
      <c r="A161" t="s">
        <v>612</v>
      </c>
      <c r="B161">
        <v>130022</v>
      </c>
      <c r="C161">
        <v>24360230</v>
      </c>
      <c r="D161" t="s">
        <v>613</v>
      </c>
      <c r="E161" t="s">
        <v>61</v>
      </c>
      <c r="F161" t="s">
        <v>69</v>
      </c>
      <c r="G161">
        <v>10</v>
      </c>
      <c r="H161">
        <v>10</v>
      </c>
      <c r="I161">
        <v>10</v>
      </c>
      <c r="J161" t="s">
        <v>63</v>
      </c>
      <c r="L161" t="s">
        <v>63</v>
      </c>
      <c r="M161" t="s">
        <v>63</v>
      </c>
      <c r="N161" t="s">
        <v>63</v>
      </c>
      <c r="O161" t="s">
        <v>63</v>
      </c>
      <c r="Q161" t="s">
        <v>63</v>
      </c>
      <c r="R161" t="s">
        <v>63</v>
      </c>
      <c r="S161" t="s">
        <v>63</v>
      </c>
      <c r="T161" t="s">
        <v>63</v>
      </c>
      <c r="V161" t="s">
        <v>63</v>
      </c>
      <c r="W161" t="s">
        <v>63</v>
      </c>
      <c r="X161" t="s">
        <v>63</v>
      </c>
      <c r="Y161" t="s">
        <v>63</v>
      </c>
      <c r="AA161" t="s">
        <v>63</v>
      </c>
      <c r="AB161" t="s">
        <v>63</v>
      </c>
      <c r="AC161" t="s">
        <v>63</v>
      </c>
      <c r="AD161" t="s">
        <v>63</v>
      </c>
      <c r="AE161">
        <v>118</v>
      </c>
      <c r="AF161">
        <v>10</v>
      </c>
      <c r="AG161">
        <v>100</v>
      </c>
      <c r="AH161">
        <v>100</v>
      </c>
      <c r="AI161">
        <v>100</v>
      </c>
      <c r="AJ161">
        <v>100</v>
      </c>
      <c r="AT161">
        <v>65.56</v>
      </c>
      <c r="AU161">
        <v>0</v>
      </c>
      <c r="AV161">
        <v>65.56</v>
      </c>
      <c r="AY161">
        <v>0</v>
      </c>
      <c r="AZ161">
        <v>0</v>
      </c>
      <c r="BA161">
        <v>100</v>
      </c>
      <c r="BB161">
        <v>77.040000000000006</v>
      </c>
      <c r="BC161">
        <v>30</v>
      </c>
      <c r="BD161">
        <v>69.33</v>
      </c>
      <c r="BE161">
        <f t="shared" si="5"/>
        <v>118</v>
      </c>
      <c r="BF161">
        <f t="shared" si="6"/>
        <v>79.333333333333343</v>
      </c>
      <c r="BG161" t="s">
        <v>758</v>
      </c>
    </row>
    <row r="162" spans="1:59" x14ac:dyDescent="0.3">
      <c r="A162" t="s">
        <v>670</v>
      </c>
      <c r="B162">
        <v>125512</v>
      </c>
      <c r="C162">
        <v>24302277</v>
      </c>
      <c r="D162" t="s">
        <v>671</v>
      </c>
      <c r="E162" t="s">
        <v>61</v>
      </c>
      <c r="F162" t="s">
        <v>77</v>
      </c>
      <c r="G162">
        <v>6.25</v>
      </c>
      <c r="H162">
        <v>10</v>
      </c>
      <c r="I162">
        <v>10</v>
      </c>
      <c r="J162" t="s">
        <v>63</v>
      </c>
      <c r="K162" t="s">
        <v>63</v>
      </c>
      <c r="L162" t="s">
        <v>63</v>
      </c>
      <c r="N162" t="s">
        <v>63</v>
      </c>
      <c r="O162" t="s">
        <v>63</v>
      </c>
      <c r="P162" t="s">
        <v>63</v>
      </c>
      <c r="Q162" t="s">
        <v>63</v>
      </c>
      <c r="S162" t="s">
        <v>63</v>
      </c>
      <c r="T162" t="s">
        <v>63</v>
      </c>
      <c r="U162" t="s">
        <v>63</v>
      </c>
      <c r="V162" t="s">
        <v>63</v>
      </c>
      <c r="X162" t="s">
        <v>63</v>
      </c>
      <c r="Y162" t="s">
        <v>63</v>
      </c>
      <c r="Z162" t="s">
        <v>63</v>
      </c>
      <c r="AA162" t="s">
        <v>63</v>
      </c>
      <c r="AC162" t="s">
        <v>63</v>
      </c>
      <c r="AD162" t="s">
        <v>63</v>
      </c>
      <c r="AE162">
        <v>129</v>
      </c>
      <c r="AF162">
        <v>10</v>
      </c>
      <c r="AG162">
        <v>87.5</v>
      </c>
      <c r="AH162">
        <v>87.5</v>
      </c>
      <c r="AI162">
        <v>87.5</v>
      </c>
      <c r="AJ162">
        <v>87.5</v>
      </c>
      <c r="AT162">
        <v>71.67</v>
      </c>
      <c r="AU162">
        <v>0</v>
      </c>
      <c r="AV162">
        <v>71.67</v>
      </c>
      <c r="AY162">
        <v>0</v>
      </c>
      <c r="AZ162">
        <v>0</v>
      </c>
      <c r="BA162">
        <v>87.5</v>
      </c>
      <c r="BB162">
        <v>76.94</v>
      </c>
      <c r="BC162">
        <v>26.25</v>
      </c>
      <c r="BD162">
        <v>69.25</v>
      </c>
      <c r="BE162">
        <f t="shared" si="5"/>
        <v>129</v>
      </c>
      <c r="BF162">
        <f t="shared" si="6"/>
        <v>79.25</v>
      </c>
      <c r="BG162" t="s">
        <v>758</v>
      </c>
    </row>
    <row r="163" spans="1:59" x14ac:dyDescent="0.3">
      <c r="A163" t="s">
        <v>686</v>
      </c>
      <c r="B163">
        <v>122949</v>
      </c>
      <c r="C163">
        <v>24275451</v>
      </c>
      <c r="D163" t="s">
        <v>687</v>
      </c>
      <c r="E163" t="s">
        <v>61</v>
      </c>
      <c r="F163" t="s">
        <v>72</v>
      </c>
      <c r="G163">
        <v>6.25</v>
      </c>
      <c r="H163">
        <v>10</v>
      </c>
      <c r="I163">
        <v>10</v>
      </c>
      <c r="J163" t="s">
        <v>63</v>
      </c>
      <c r="K163" t="s">
        <v>63</v>
      </c>
      <c r="M163" t="s">
        <v>63</v>
      </c>
      <c r="N163" t="s">
        <v>63</v>
      </c>
      <c r="O163" t="s">
        <v>63</v>
      </c>
      <c r="P163" t="s">
        <v>63</v>
      </c>
      <c r="R163" t="s">
        <v>63</v>
      </c>
      <c r="S163" t="s">
        <v>63</v>
      </c>
      <c r="T163" t="s">
        <v>63</v>
      </c>
      <c r="U163" t="s">
        <v>63</v>
      </c>
      <c r="W163" t="s">
        <v>63</v>
      </c>
      <c r="X163" t="s">
        <v>63</v>
      </c>
      <c r="Y163" t="s">
        <v>63</v>
      </c>
      <c r="Z163" t="s">
        <v>63</v>
      </c>
      <c r="AB163" t="s">
        <v>63</v>
      </c>
      <c r="AC163" t="s">
        <v>63</v>
      </c>
      <c r="AD163" t="s">
        <v>63</v>
      </c>
      <c r="AE163">
        <v>129</v>
      </c>
      <c r="AF163">
        <v>10</v>
      </c>
      <c r="AG163">
        <v>87.5</v>
      </c>
      <c r="AH163">
        <v>87.5</v>
      </c>
      <c r="AI163">
        <v>87.5</v>
      </c>
      <c r="AJ163">
        <v>87.5</v>
      </c>
      <c r="AT163">
        <v>71.67</v>
      </c>
      <c r="AU163">
        <v>0</v>
      </c>
      <c r="AV163">
        <v>71.67</v>
      </c>
      <c r="AY163">
        <v>0</v>
      </c>
      <c r="AZ163">
        <v>0</v>
      </c>
      <c r="BA163">
        <v>87.5</v>
      </c>
      <c r="BB163">
        <v>76.94</v>
      </c>
      <c r="BC163">
        <v>26.25</v>
      </c>
      <c r="BD163">
        <v>69.25</v>
      </c>
      <c r="BE163">
        <f t="shared" si="5"/>
        <v>129</v>
      </c>
      <c r="BF163">
        <f t="shared" si="6"/>
        <v>79.25</v>
      </c>
      <c r="BG163" t="s">
        <v>758</v>
      </c>
    </row>
    <row r="164" spans="1:59" x14ac:dyDescent="0.3">
      <c r="A164" t="s">
        <v>730</v>
      </c>
      <c r="B164">
        <v>127980</v>
      </c>
      <c r="C164">
        <v>24337909</v>
      </c>
      <c r="D164" t="s">
        <v>731</v>
      </c>
      <c r="E164" t="s">
        <v>61</v>
      </c>
      <c r="F164" t="s">
        <v>72</v>
      </c>
      <c r="G164">
        <v>9</v>
      </c>
      <c r="H164">
        <v>8.75</v>
      </c>
      <c r="I164">
        <v>9.5</v>
      </c>
      <c r="J164" t="s">
        <v>63</v>
      </c>
      <c r="K164" t="s">
        <v>63</v>
      </c>
      <c r="M164" t="s">
        <v>63</v>
      </c>
      <c r="N164" t="s">
        <v>63</v>
      </c>
      <c r="O164" t="s">
        <v>63</v>
      </c>
      <c r="P164" t="s">
        <v>63</v>
      </c>
      <c r="R164" t="s">
        <v>63</v>
      </c>
      <c r="S164" t="s">
        <v>63</v>
      </c>
      <c r="T164" t="s">
        <v>63</v>
      </c>
      <c r="U164" t="s">
        <v>63</v>
      </c>
      <c r="W164" t="s">
        <v>63</v>
      </c>
      <c r="X164" t="s">
        <v>63</v>
      </c>
      <c r="Y164" t="s">
        <v>63</v>
      </c>
      <c r="Z164" t="s">
        <v>63</v>
      </c>
      <c r="AB164" t="s">
        <v>63</v>
      </c>
      <c r="AC164" t="s">
        <v>63</v>
      </c>
      <c r="AD164" t="s">
        <v>63</v>
      </c>
      <c r="AE164">
        <v>126</v>
      </c>
      <c r="AF164">
        <v>10</v>
      </c>
      <c r="AG164">
        <v>90.83</v>
      </c>
      <c r="AH164">
        <v>90.83</v>
      </c>
      <c r="AI164">
        <v>90.83</v>
      </c>
      <c r="AJ164">
        <v>90.83</v>
      </c>
      <c r="AT164">
        <v>70</v>
      </c>
      <c r="AU164">
        <v>0</v>
      </c>
      <c r="AV164">
        <v>70</v>
      </c>
      <c r="AY164">
        <v>0</v>
      </c>
      <c r="AZ164">
        <v>0</v>
      </c>
      <c r="BA164">
        <v>90.83</v>
      </c>
      <c r="BB164">
        <v>76.94</v>
      </c>
      <c r="BC164">
        <v>27.25</v>
      </c>
      <c r="BD164">
        <v>69.25</v>
      </c>
      <c r="BE164">
        <f t="shared" si="5"/>
        <v>126</v>
      </c>
      <c r="BF164">
        <f t="shared" si="6"/>
        <v>79.25</v>
      </c>
      <c r="BG164" t="s">
        <v>758</v>
      </c>
    </row>
    <row r="165" spans="1:59" x14ac:dyDescent="0.3">
      <c r="A165" t="s">
        <v>598</v>
      </c>
      <c r="B165">
        <v>127260</v>
      </c>
      <c r="C165">
        <v>12521032</v>
      </c>
      <c r="D165" t="s">
        <v>599</v>
      </c>
      <c r="E165" t="s">
        <v>61</v>
      </c>
      <c r="F165" t="s">
        <v>66</v>
      </c>
      <c r="G165">
        <v>10</v>
      </c>
      <c r="H165">
        <v>9</v>
      </c>
      <c r="I165">
        <v>10</v>
      </c>
      <c r="K165" t="s">
        <v>63</v>
      </c>
      <c r="L165" t="s">
        <v>63</v>
      </c>
      <c r="M165" t="s">
        <v>63</v>
      </c>
      <c r="N165" t="s">
        <v>63</v>
      </c>
      <c r="P165" t="s">
        <v>63</v>
      </c>
      <c r="Q165" t="s">
        <v>63</v>
      </c>
      <c r="R165" t="s">
        <v>63</v>
      </c>
      <c r="S165" t="s">
        <v>63</v>
      </c>
      <c r="U165" t="s">
        <v>63</v>
      </c>
      <c r="V165" t="s">
        <v>63</v>
      </c>
      <c r="W165" t="s">
        <v>63</v>
      </c>
      <c r="X165" t="s">
        <v>63</v>
      </c>
      <c r="Z165" t="s">
        <v>63</v>
      </c>
      <c r="AA165" t="s">
        <v>63</v>
      </c>
      <c r="AB165" t="s">
        <v>63</v>
      </c>
      <c r="AC165" t="s">
        <v>63</v>
      </c>
      <c r="AD165" t="s">
        <v>63</v>
      </c>
      <c r="AE165">
        <v>120.5</v>
      </c>
      <c r="AF165">
        <v>10</v>
      </c>
      <c r="AG165">
        <v>96.67</v>
      </c>
      <c r="AH165">
        <v>96.67</v>
      </c>
      <c r="AI165">
        <v>96.67</v>
      </c>
      <c r="AJ165">
        <v>96.67</v>
      </c>
      <c r="AT165">
        <v>66.94</v>
      </c>
      <c r="AU165">
        <v>0</v>
      </c>
      <c r="AV165">
        <v>66.94</v>
      </c>
      <c r="AY165">
        <v>0</v>
      </c>
      <c r="AZ165">
        <v>0</v>
      </c>
      <c r="BA165">
        <v>96.67</v>
      </c>
      <c r="BB165">
        <v>76.849999999999994</v>
      </c>
      <c r="BC165">
        <v>29</v>
      </c>
      <c r="BD165">
        <v>69.17</v>
      </c>
      <c r="BE165">
        <f t="shared" si="5"/>
        <v>120.5</v>
      </c>
      <c r="BF165">
        <f t="shared" si="6"/>
        <v>79.166666666666657</v>
      </c>
      <c r="BG165" t="s">
        <v>758</v>
      </c>
    </row>
    <row r="166" spans="1:59" x14ac:dyDescent="0.3">
      <c r="A166" t="s">
        <v>620</v>
      </c>
      <c r="B166">
        <v>134167</v>
      </c>
      <c r="C166">
        <v>24386971</v>
      </c>
      <c r="D166" t="s">
        <v>621</v>
      </c>
      <c r="E166" t="s">
        <v>61</v>
      </c>
      <c r="F166" t="s">
        <v>66</v>
      </c>
      <c r="G166">
        <v>10</v>
      </c>
      <c r="H166">
        <v>10</v>
      </c>
      <c r="I166">
        <v>10</v>
      </c>
      <c r="K166" t="s">
        <v>63</v>
      </c>
      <c r="L166" t="s">
        <v>63</v>
      </c>
      <c r="M166" t="s">
        <v>63</v>
      </c>
      <c r="N166" t="s">
        <v>63</v>
      </c>
      <c r="P166" t="s">
        <v>63</v>
      </c>
      <c r="Q166" t="s">
        <v>63</v>
      </c>
      <c r="R166" t="s">
        <v>63</v>
      </c>
      <c r="S166" t="s">
        <v>63</v>
      </c>
      <c r="U166" t="s">
        <v>63</v>
      </c>
      <c r="V166" t="s">
        <v>63</v>
      </c>
      <c r="W166" t="s">
        <v>63</v>
      </c>
      <c r="X166" t="s">
        <v>63</v>
      </c>
      <c r="Z166" t="s">
        <v>63</v>
      </c>
      <c r="AA166" t="s">
        <v>63</v>
      </c>
      <c r="AB166" t="s">
        <v>63</v>
      </c>
      <c r="AC166" t="s">
        <v>63</v>
      </c>
      <c r="AD166" t="s">
        <v>63</v>
      </c>
      <c r="AE166">
        <v>117.5</v>
      </c>
      <c r="AF166">
        <v>10</v>
      </c>
      <c r="AG166">
        <v>100</v>
      </c>
      <c r="AH166">
        <v>100</v>
      </c>
      <c r="AI166">
        <v>100</v>
      </c>
      <c r="AJ166">
        <v>100</v>
      </c>
      <c r="AT166">
        <v>65.28</v>
      </c>
      <c r="AU166">
        <v>0</v>
      </c>
      <c r="AV166">
        <v>65.28</v>
      </c>
      <c r="AY166">
        <v>0</v>
      </c>
      <c r="AZ166">
        <v>0</v>
      </c>
      <c r="BA166">
        <v>100</v>
      </c>
      <c r="BB166">
        <v>76.849999999999994</v>
      </c>
      <c r="BC166">
        <v>30</v>
      </c>
      <c r="BD166">
        <v>69.17</v>
      </c>
      <c r="BE166">
        <f t="shared" si="5"/>
        <v>117.5</v>
      </c>
      <c r="BF166">
        <f t="shared" si="6"/>
        <v>79.166666666666657</v>
      </c>
      <c r="BG166" t="s">
        <v>758</v>
      </c>
    </row>
    <row r="167" spans="1:59" x14ac:dyDescent="0.3">
      <c r="A167" t="s">
        <v>740</v>
      </c>
      <c r="B167">
        <v>85100</v>
      </c>
      <c r="C167">
        <v>17509830</v>
      </c>
      <c r="D167" t="s">
        <v>741</v>
      </c>
      <c r="E167" t="s">
        <v>61</v>
      </c>
      <c r="F167" t="s">
        <v>62</v>
      </c>
      <c r="G167">
        <v>7.5</v>
      </c>
      <c r="H167">
        <v>10</v>
      </c>
      <c r="I167">
        <v>9.5</v>
      </c>
      <c r="J167" t="s">
        <v>63</v>
      </c>
      <c r="K167" t="s">
        <v>63</v>
      </c>
      <c r="L167" t="s">
        <v>63</v>
      </c>
      <c r="M167" t="s">
        <v>63</v>
      </c>
      <c r="O167" t="s">
        <v>63</v>
      </c>
      <c r="P167" t="s">
        <v>63</v>
      </c>
      <c r="Q167" t="s">
        <v>63</v>
      </c>
      <c r="R167" t="s">
        <v>63</v>
      </c>
      <c r="T167" t="s">
        <v>63</v>
      </c>
      <c r="U167" t="s">
        <v>63</v>
      </c>
      <c r="V167" t="s">
        <v>63</v>
      </c>
      <c r="W167" t="s">
        <v>63</v>
      </c>
      <c r="Y167" t="s">
        <v>63</v>
      </c>
      <c r="Z167" t="s">
        <v>63</v>
      </c>
      <c r="AA167" t="s">
        <v>63</v>
      </c>
      <c r="AB167" t="s">
        <v>63</v>
      </c>
      <c r="AD167" t="s">
        <v>63</v>
      </c>
      <c r="AE167">
        <v>126.5</v>
      </c>
      <c r="AF167">
        <v>10</v>
      </c>
      <c r="AG167">
        <v>90</v>
      </c>
      <c r="AH167">
        <v>90</v>
      </c>
      <c r="AI167">
        <v>90</v>
      </c>
      <c r="AJ167">
        <v>90</v>
      </c>
      <c r="AT167">
        <v>70.28</v>
      </c>
      <c r="AU167">
        <v>0</v>
      </c>
      <c r="AV167">
        <v>70.28</v>
      </c>
      <c r="AY167">
        <v>0</v>
      </c>
      <c r="AZ167">
        <v>0</v>
      </c>
      <c r="BA167">
        <v>90</v>
      </c>
      <c r="BB167">
        <v>76.849999999999994</v>
      </c>
      <c r="BC167">
        <v>27</v>
      </c>
      <c r="BD167">
        <v>69.17</v>
      </c>
      <c r="BE167">
        <f t="shared" si="5"/>
        <v>126.5</v>
      </c>
      <c r="BF167">
        <f t="shared" si="6"/>
        <v>79.166666666666657</v>
      </c>
      <c r="BG167" t="s">
        <v>758</v>
      </c>
    </row>
    <row r="168" spans="1:59" x14ac:dyDescent="0.3">
      <c r="A168" t="s">
        <v>130</v>
      </c>
      <c r="B168">
        <v>133931</v>
      </c>
      <c r="C168">
        <v>24386529</v>
      </c>
      <c r="D168" t="s">
        <v>131</v>
      </c>
      <c r="E168" t="s">
        <v>61</v>
      </c>
      <c r="F168" t="s">
        <v>69</v>
      </c>
      <c r="G168">
        <v>7.5</v>
      </c>
      <c r="H168">
        <v>9.75</v>
      </c>
      <c r="I168">
        <v>7.5</v>
      </c>
      <c r="J168" t="s">
        <v>63</v>
      </c>
      <c r="L168" t="s">
        <v>63</v>
      </c>
      <c r="M168" t="s">
        <v>63</v>
      </c>
      <c r="N168" t="s">
        <v>63</v>
      </c>
      <c r="O168" t="s">
        <v>63</v>
      </c>
      <c r="Q168" t="s">
        <v>63</v>
      </c>
      <c r="R168" t="s">
        <v>63</v>
      </c>
      <c r="S168" t="s">
        <v>63</v>
      </c>
      <c r="T168" t="s">
        <v>63</v>
      </c>
      <c r="V168" t="s">
        <v>63</v>
      </c>
      <c r="W168" t="s">
        <v>63</v>
      </c>
      <c r="X168" t="s">
        <v>63</v>
      </c>
      <c r="Y168" t="s">
        <v>63</v>
      </c>
      <c r="AA168" t="s">
        <v>63</v>
      </c>
      <c r="AB168" t="s">
        <v>63</v>
      </c>
      <c r="AC168" t="s">
        <v>63</v>
      </c>
      <c r="AD168" t="s">
        <v>63</v>
      </c>
      <c r="AE168">
        <v>133</v>
      </c>
      <c r="AF168">
        <v>10</v>
      </c>
      <c r="AG168">
        <v>82.5</v>
      </c>
      <c r="AH168">
        <v>82.5</v>
      </c>
      <c r="AI168">
        <v>82.5</v>
      </c>
      <c r="AJ168">
        <v>82.5</v>
      </c>
      <c r="AT168">
        <v>73.89</v>
      </c>
      <c r="AU168">
        <v>0</v>
      </c>
      <c r="AV168">
        <v>73.89</v>
      </c>
      <c r="AY168">
        <v>0</v>
      </c>
      <c r="AZ168">
        <v>0</v>
      </c>
      <c r="BA168">
        <v>82.5</v>
      </c>
      <c r="BB168">
        <v>76.760000000000005</v>
      </c>
      <c r="BC168">
        <v>24.75</v>
      </c>
      <c r="BD168">
        <v>69.08</v>
      </c>
      <c r="BE168">
        <f t="shared" si="5"/>
        <v>133</v>
      </c>
      <c r="BF168">
        <f t="shared" si="6"/>
        <v>79.083333333333343</v>
      </c>
      <c r="BG168" t="s">
        <v>758</v>
      </c>
    </row>
    <row r="169" spans="1:59" x14ac:dyDescent="0.3">
      <c r="A169" t="s">
        <v>67</v>
      </c>
      <c r="B169">
        <v>11772</v>
      </c>
      <c r="C169">
        <v>17069598</v>
      </c>
      <c r="D169" t="s">
        <v>68</v>
      </c>
      <c r="E169" t="s">
        <v>61</v>
      </c>
      <c r="F169" t="s">
        <v>69</v>
      </c>
      <c r="G169">
        <v>7.5</v>
      </c>
      <c r="H169">
        <v>9</v>
      </c>
      <c r="I169">
        <v>10</v>
      </c>
      <c r="J169" t="s">
        <v>63</v>
      </c>
      <c r="L169" t="s">
        <v>63</v>
      </c>
      <c r="M169" t="s">
        <v>63</v>
      </c>
      <c r="N169" t="s">
        <v>63</v>
      </c>
      <c r="O169" t="s">
        <v>63</v>
      </c>
      <c r="Q169" t="s">
        <v>63</v>
      </c>
      <c r="R169" t="s">
        <v>63</v>
      </c>
      <c r="S169" t="s">
        <v>63</v>
      </c>
      <c r="T169" t="s">
        <v>63</v>
      </c>
      <c r="V169" t="s">
        <v>63</v>
      </c>
      <c r="W169" t="s">
        <v>63</v>
      </c>
      <c r="X169" t="s">
        <v>63</v>
      </c>
      <c r="Y169" t="s">
        <v>63</v>
      </c>
      <c r="AA169" t="s">
        <v>63</v>
      </c>
      <c r="AB169" t="s">
        <v>63</v>
      </c>
      <c r="AC169" t="s">
        <v>63</v>
      </c>
      <c r="AD169" t="s">
        <v>63</v>
      </c>
      <c r="AE169">
        <v>127.5</v>
      </c>
      <c r="AF169">
        <v>10</v>
      </c>
      <c r="AG169">
        <v>88.33</v>
      </c>
      <c r="AH169">
        <v>88.33</v>
      </c>
      <c r="AI169">
        <v>88.33</v>
      </c>
      <c r="AJ169">
        <v>88.33</v>
      </c>
      <c r="AT169">
        <v>70.83</v>
      </c>
      <c r="AU169">
        <v>0</v>
      </c>
      <c r="AV169">
        <v>70.83</v>
      </c>
      <c r="AY169">
        <v>0</v>
      </c>
      <c r="AZ169">
        <v>0</v>
      </c>
      <c r="BA169">
        <v>88.33</v>
      </c>
      <c r="BB169">
        <v>76.67</v>
      </c>
      <c r="BC169">
        <v>26.5</v>
      </c>
      <c r="BD169">
        <v>69</v>
      </c>
      <c r="BE169">
        <f t="shared" si="5"/>
        <v>127.5</v>
      </c>
      <c r="BF169">
        <f t="shared" si="6"/>
        <v>79</v>
      </c>
      <c r="BG169" t="s">
        <v>758</v>
      </c>
    </row>
    <row r="170" spans="1:59" x14ac:dyDescent="0.3">
      <c r="A170" t="s">
        <v>424</v>
      </c>
      <c r="B170">
        <v>122889</v>
      </c>
      <c r="C170">
        <v>24274839</v>
      </c>
      <c r="D170" t="s">
        <v>425</v>
      </c>
      <c r="E170" t="s">
        <v>61</v>
      </c>
      <c r="F170" t="s">
        <v>66</v>
      </c>
      <c r="G170">
        <v>6.5</v>
      </c>
      <c r="H170">
        <v>8</v>
      </c>
      <c r="I170">
        <v>9.5</v>
      </c>
      <c r="K170" t="s">
        <v>63</v>
      </c>
      <c r="L170" t="s">
        <v>63</v>
      </c>
      <c r="M170" t="s">
        <v>63</v>
      </c>
      <c r="N170" t="s">
        <v>63</v>
      </c>
      <c r="P170" t="s">
        <v>63</v>
      </c>
      <c r="Q170" t="s">
        <v>63</v>
      </c>
      <c r="R170" t="s">
        <v>63</v>
      </c>
      <c r="S170" t="s">
        <v>63</v>
      </c>
      <c r="U170" t="s">
        <v>63</v>
      </c>
      <c r="V170" t="s">
        <v>63</v>
      </c>
      <c r="W170" t="s">
        <v>63</v>
      </c>
      <c r="X170" t="s">
        <v>63</v>
      </c>
      <c r="Z170" t="s">
        <v>63</v>
      </c>
      <c r="AA170" t="s">
        <v>63</v>
      </c>
      <c r="AB170" t="s">
        <v>63</v>
      </c>
      <c r="AC170" t="s">
        <v>63</v>
      </c>
      <c r="AD170" t="s">
        <v>63</v>
      </c>
      <c r="AE170">
        <v>135</v>
      </c>
      <c r="AF170">
        <v>10</v>
      </c>
      <c r="AG170">
        <v>80</v>
      </c>
      <c r="AH170">
        <v>80</v>
      </c>
      <c r="AI170">
        <v>80</v>
      </c>
      <c r="AJ170">
        <v>80</v>
      </c>
      <c r="AT170">
        <v>75</v>
      </c>
      <c r="AU170">
        <v>0</v>
      </c>
      <c r="AV170">
        <v>75</v>
      </c>
      <c r="AY170">
        <v>0</v>
      </c>
      <c r="AZ170">
        <v>0</v>
      </c>
      <c r="BA170">
        <v>80</v>
      </c>
      <c r="BB170">
        <v>76.67</v>
      </c>
      <c r="BC170">
        <v>24</v>
      </c>
      <c r="BD170">
        <v>69</v>
      </c>
      <c r="BE170">
        <f t="shared" si="5"/>
        <v>135</v>
      </c>
      <c r="BF170">
        <f t="shared" si="6"/>
        <v>79</v>
      </c>
      <c r="BG170" t="s">
        <v>758</v>
      </c>
    </row>
    <row r="171" spans="1:59" x14ac:dyDescent="0.3">
      <c r="A171" t="s">
        <v>234</v>
      </c>
      <c r="B171">
        <v>131338</v>
      </c>
      <c r="C171">
        <v>24362185</v>
      </c>
      <c r="D171" t="s">
        <v>235</v>
      </c>
      <c r="E171" t="s">
        <v>61</v>
      </c>
      <c r="F171" t="s">
        <v>72</v>
      </c>
      <c r="G171">
        <v>10</v>
      </c>
      <c r="H171">
        <v>10</v>
      </c>
      <c r="I171">
        <v>10</v>
      </c>
      <c r="J171" t="s">
        <v>63</v>
      </c>
      <c r="K171" t="s">
        <v>63</v>
      </c>
      <c r="M171" t="s">
        <v>63</v>
      </c>
      <c r="N171" t="s">
        <v>63</v>
      </c>
      <c r="O171" t="s">
        <v>63</v>
      </c>
      <c r="P171" t="s">
        <v>63</v>
      </c>
      <c r="R171" t="s">
        <v>63</v>
      </c>
      <c r="S171" t="s">
        <v>63</v>
      </c>
      <c r="T171" t="s">
        <v>63</v>
      </c>
      <c r="U171" t="s">
        <v>63</v>
      </c>
      <c r="W171" t="s">
        <v>63</v>
      </c>
      <c r="X171" t="s">
        <v>63</v>
      </c>
      <c r="Y171" t="s">
        <v>63</v>
      </c>
      <c r="Z171" t="s">
        <v>63</v>
      </c>
      <c r="AB171" t="s">
        <v>63</v>
      </c>
      <c r="AC171" t="s">
        <v>63</v>
      </c>
      <c r="AD171" t="s">
        <v>63</v>
      </c>
      <c r="AE171">
        <v>116.5</v>
      </c>
      <c r="AF171">
        <v>10</v>
      </c>
      <c r="AG171">
        <v>100</v>
      </c>
      <c r="AH171">
        <v>100</v>
      </c>
      <c r="AI171">
        <v>100</v>
      </c>
      <c r="AJ171">
        <v>100</v>
      </c>
      <c r="AT171">
        <v>64.72</v>
      </c>
      <c r="AU171">
        <v>0</v>
      </c>
      <c r="AV171">
        <v>64.72</v>
      </c>
      <c r="AY171">
        <v>0</v>
      </c>
      <c r="AZ171">
        <v>0</v>
      </c>
      <c r="BA171">
        <v>100</v>
      </c>
      <c r="BB171">
        <v>76.48</v>
      </c>
      <c r="BC171">
        <v>30</v>
      </c>
      <c r="BD171">
        <v>68.83</v>
      </c>
      <c r="BE171">
        <f t="shared" si="5"/>
        <v>116.5</v>
      </c>
      <c r="BF171">
        <f t="shared" si="6"/>
        <v>78.833333333333343</v>
      </c>
      <c r="BG171" t="s">
        <v>758</v>
      </c>
    </row>
    <row r="172" spans="1:59" x14ac:dyDescent="0.3">
      <c r="A172" t="s">
        <v>528</v>
      </c>
      <c r="B172">
        <v>132871</v>
      </c>
      <c r="C172">
        <v>24376465</v>
      </c>
      <c r="D172" t="s">
        <v>529</v>
      </c>
      <c r="E172" t="s">
        <v>61</v>
      </c>
      <c r="F172" t="s">
        <v>66</v>
      </c>
      <c r="G172">
        <v>8</v>
      </c>
      <c r="H172">
        <v>8</v>
      </c>
      <c r="I172">
        <v>10</v>
      </c>
      <c r="K172" t="s">
        <v>63</v>
      </c>
      <c r="L172" t="s">
        <v>63</v>
      </c>
      <c r="M172" t="s">
        <v>63</v>
      </c>
      <c r="N172" t="s">
        <v>63</v>
      </c>
      <c r="P172" t="s">
        <v>63</v>
      </c>
      <c r="Q172" t="s">
        <v>63</v>
      </c>
      <c r="R172" t="s">
        <v>63</v>
      </c>
      <c r="S172" t="s">
        <v>63</v>
      </c>
      <c r="U172" t="s">
        <v>63</v>
      </c>
      <c r="V172" t="s">
        <v>63</v>
      </c>
      <c r="W172" t="s">
        <v>63</v>
      </c>
      <c r="X172" t="s">
        <v>63</v>
      </c>
      <c r="Z172" t="s">
        <v>63</v>
      </c>
      <c r="AA172" t="s">
        <v>63</v>
      </c>
      <c r="AB172" t="s">
        <v>63</v>
      </c>
      <c r="AC172" t="s">
        <v>63</v>
      </c>
      <c r="AD172" t="s">
        <v>63</v>
      </c>
      <c r="AE172">
        <v>128.5</v>
      </c>
      <c r="AF172">
        <v>10</v>
      </c>
      <c r="AG172">
        <v>86.67</v>
      </c>
      <c r="AH172">
        <v>86.67</v>
      </c>
      <c r="AI172">
        <v>86.67</v>
      </c>
      <c r="AJ172">
        <v>86.67</v>
      </c>
      <c r="AT172">
        <v>71.39</v>
      </c>
      <c r="AU172">
        <v>0</v>
      </c>
      <c r="AV172">
        <v>71.39</v>
      </c>
      <c r="AY172">
        <v>0</v>
      </c>
      <c r="AZ172">
        <v>0</v>
      </c>
      <c r="BA172">
        <v>86.67</v>
      </c>
      <c r="BB172">
        <v>76.48</v>
      </c>
      <c r="BC172">
        <v>26</v>
      </c>
      <c r="BD172">
        <v>68.83</v>
      </c>
      <c r="BE172">
        <f t="shared" si="5"/>
        <v>128.5</v>
      </c>
      <c r="BF172">
        <f t="shared" si="6"/>
        <v>78.833333333333343</v>
      </c>
      <c r="BG172" t="s">
        <v>758</v>
      </c>
    </row>
    <row r="173" spans="1:59" x14ac:dyDescent="0.3">
      <c r="A173" t="s">
        <v>588</v>
      </c>
      <c r="B173">
        <v>122987</v>
      </c>
      <c r="C173">
        <v>24276063</v>
      </c>
      <c r="D173" t="s">
        <v>589</v>
      </c>
      <c r="E173" t="s">
        <v>61</v>
      </c>
      <c r="F173" t="s">
        <v>62</v>
      </c>
      <c r="G173">
        <v>8</v>
      </c>
      <c r="H173">
        <v>10</v>
      </c>
      <c r="I173">
        <v>10</v>
      </c>
      <c r="J173" t="s">
        <v>63</v>
      </c>
      <c r="K173" t="s">
        <v>63</v>
      </c>
      <c r="L173" t="s">
        <v>63</v>
      </c>
      <c r="M173" t="s">
        <v>63</v>
      </c>
      <c r="O173" t="s">
        <v>63</v>
      </c>
      <c r="P173" t="s">
        <v>63</v>
      </c>
      <c r="Q173" t="s">
        <v>63</v>
      </c>
      <c r="R173" t="s">
        <v>63</v>
      </c>
      <c r="T173" t="s">
        <v>63</v>
      </c>
      <c r="U173" t="s">
        <v>63</v>
      </c>
      <c r="V173" t="s">
        <v>63</v>
      </c>
      <c r="W173" t="s">
        <v>63</v>
      </c>
      <c r="Y173" t="s">
        <v>63</v>
      </c>
      <c r="Z173" t="s">
        <v>63</v>
      </c>
      <c r="AA173" t="s">
        <v>63</v>
      </c>
      <c r="AB173" t="s">
        <v>63</v>
      </c>
      <c r="AD173" t="s">
        <v>63</v>
      </c>
      <c r="AE173">
        <v>122.5</v>
      </c>
      <c r="AF173">
        <v>10</v>
      </c>
      <c r="AG173">
        <v>93.33</v>
      </c>
      <c r="AH173">
        <v>93.33</v>
      </c>
      <c r="AI173">
        <v>93.33</v>
      </c>
      <c r="AJ173">
        <v>93.33</v>
      </c>
      <c r="AT173">
        <v>68.06</v>
      </c>
      <c r="AU173">
        <v>0</v>
      </c>
      <c r="AV173">
        <v>68.06</v>
      </c>
      <c r="AY173">
        <v>0</v>
      </c>
      <c r="AZ173">
        <v>0</v>
      </c>
      <c r="BA173">
        <v>93.33</v>
      </c>
      <c r="BB173">
        <v>76.48</v>
      </c>
      <c r="BC173">
        <v>28</v>
      </c>
      <c r="BD173">
        <v>68.83</v>
      </c>
      <c r="BE173">
        <f t="shared" si="5"/>
        <v>122.5</v>
      </c>
      <c r="BF173">
        <f t="shared" si="6"/>
        <v>78.833333333333343</v>
      </c>
      <c r="BG173" t="s">
        <v>758</v>
      </c>
    </row>
    <row r="174" spans="1:59" x14ac:dyDescent="0.3">
      <c r="A174" t="s">
        <v>678</v>
      </c>
      <c r="B174">
        <v>132796</v>
      </c>
      <c r="C174">
        <v>24375700</v>
      </c>
      <c r="D174" t="s">
        <v>679</v>
      </c>
      <c r="E174" t="s">
        <v>61</v>
      </c>
      <c r="F174" t="s">
        <v>72</v>
      </c>
      <c r="G174">
        <v>8.5</v>
      </c>
      <c r="H174">
        <v>10</v>
      </c>
      <c r="I174">
        <v>10</v>
      </c>
      <c r="J174" t="s">
        <v>63</v>
      </c>
      <c r="K174" t="s">
        <v>63</v>
      </c>
      <c r="M174" t="s">
        <v>63</v>
      </c>
      <c r="N174" t="s">
        <v>63</v>
      </c>
      <c r="O174" t="s">
        <v>63</v>
      </c>
      <c r="P174" t="s">
        <v>63</v>
      </c>
      <c r="R174" t="s">
        <v>63</v>
      </c>
      <c r="S174" t="s">
        <v>63</v>
      </c>
      <c r="T174" t="s">
        <v>63</v>
      </c>
      <c r="U174" t="s">
        <v>63</v>
      </c>
      <c r="W174" t="s">
        <v>63</v>
      </c>
      <c r="X174" t="s">
        <v>63</v>
      </c>
      <c r="Y174" t="s">
        <v>63</v>
      </c>
      <c r="Z174" t="s">
        <v>63</v>
      </c>
      <c r="AB174" t="s">
        <v>63</v>
      </c>
      <c r="AC174" t="s">
        <v>63</v>
      </c>
      <c r="AD174" t="s">
        <v>63</v>
      </c>
      <c r="AE174">
        <v>121</v>
      </c>
      <c r="AF174">
        <v>10</v>
      </c>
      <c r="AG174">
        <v>95</v>
      </c>
      <c r="AH174">
        <v>95</v>
      </c>
      <c r="AI174">
        <v>95</v>
      </c>
      <c r="AJ174">
        <v>95</v>
      </c>
      <c r="AT174">
        <v>67.22</v>
      </c>
      <c r="AU174">
        <v>0</v>
      </c>
      <c r="AV174">
        <v>67.22</v>
      </c>
      <c r="AY174">
        <v>0</v>
      </c>
      <c r="AZ174">
        <v>0</v>
      </c>
      <c r="BA174">
        <v>95</v>
      </c>
      <c r="BB174">
        <v>76.48</v>
      </c>
      <c r="BC174">
        <v>28.5</v>
      </c>
      <c r="BD174">
        <v>68.83</v>
      </c>
      <c r="BE174">
        <f t="shared" si="5"/>
        <v>121</v>
      </c>
      <c r="BF174">
        <f t="shared" si="6"/>
        <v>78.833333333333343</v>
      </c>
      <c r="BG174" t="s">
        <v>758</v>
      </c>
    </row>
    <row r="175" spans="1:59" x14ac:dyDescent="0.3">
      <c r="A175" t="s">
        <v>700</v>
      </c>
      <c r="B175">
        <v>133917</v>
      </c>
      <c r="C175">
        <v>24385594</v>
      </c>
      <c r="D175" t="s">
        <v>701</v>
      </c>
      <c r="E175" t="s">
        <v>61</v>
      </c>
      <c r="F175" t="s">
        <v>66</v>
      </c>
      <c r="G175">
        <v>8.5</v>
      </c>
      <c r="H175">
        <v>10</v>
      </c>
      <c r="I175">
        <v>10</v>
      </c>
      <c r="K175" t="s">
        <v>63</v>
      </c>
      <c r="L175" t="s">
        <v>63</v>
      </c>
      <c r="M175" t="s">
        <v>63</v>
      </c>
      <c r="N175" t="s">
        <v>63</v>
      </c>
      <c r="P175" t="s">
        <v>63</v>
      </c>
      <c r="Q175" t="s">
        <v>63</v>
      </c>
      <c r="R175" t="s">
        <v>63</v>
      </c>
      <c r="S175" t="s">
        <v>63</v>
      </c>
      <c r="U175" t="s">
        <v>63</v>
      </c>
      <c r="V175" t="s">
        <v>63</v>
      </c>
      <c r="W175" t="s">
        <v>63</v>
      </c>
      <c r="X175" t="s">
        <v>63</v>
      </c>
      <c r="Z175" t="s">
        <v>63</v>
      </c>
      <c r="AA175" t="s">
        <v>63</v>
      </c>
      <c r="AB175" t="s">
        <v>63</v>
      </c>
      <c r="AC175" t="s">
        <v>63</v>
      </c>
      <c r="AD175" t="s">
        <v>63</v>
      </c>
      <c r="AE175">
        <v>121</v>
      </c>
      <c r="AF175">
        <v>10</v>
      </c>
      <c r="AG175">
        <v>95</v>
      </c>
      <c r="AH175">
        <v>95</v>
      </c>
      <c r="AI175">
        <v>95</v>
      </c>
      <c r="AJ175">
        <v>95</v>
      </c>
      <c r="AT175">
        <v>67.22</v>
      </c>
      <c r="AU175">
        <v>0</v>
      </c>
      <c r="AV175">
        <v>67.22</v>
      </c>
      <c r="AY175">
        <v>0</v>
      </c>
      <c r="AZ175">
        <v>0</v>
      </c>
      <c r="BA175">
        <v>95</v>
      </c>
      <c r="BB175">
        <v>76.48</v>
      </c>
      <c r="BC175">
        <v>28.5</v>
      </c>
      <c r="BD175">
        <v>68.83</v>
      </c>
      <c r="BE175">
        <f t="shared" si="5"/>
        <v>121</v>
      </c>
      <c r="BF175">
        <f t="shared" si="6"/>
        <v>78.833333333333343</v>
      </c>
      <c r="BG175" t="s">
        <v>758</v>
      </c>
    </row>
    <row r="176" spans="1:59" x14ac:dyDescent="0.3">
      <c r="A176" t="s">
        <v>158</v>
      </c>
      <c r="B176">
        <v>127956</v>
      </c>
      <c r="C176">
        <v>24338011</v>
      </c>
      <c r="D176" t="s">
        <v>159</v>
      </c>
      <c r="E176" t="s">
        <v>61</v>
      </c>
      <c r="F176" t="s">
        <v>72</v>
      </c>
      <c r="G176">
        <v>7.25</v>
      </c>
      <c r="H176">
        <v>9</v>
      </c>
      <c r="I176">
        <v>10</v>
      </c>
      <c r="J176" t="s">
        <v>63</v>
      </c>
      <c r="K176" t="s">
        <v>63</v>
      </c>
      <c r="M176" t="s">
        <v>63</v>
      </c>
      <c r="N176" t="s">
        <v>63</v>
      </c>
      <c r="O176" t="s">
        <v>63</v>
      </c>
      <c r="P176" t="s">
        <v>63</v>
      </c>
      <c r="R176" t="s">
        <v>63</v>
      </c>
      <c r="S176" t="s">
        <v>63</v>
      </c>
      <c r="T176" t="s">
        <v>63</v>
      </c>
      <c r="U176" t="s">
        <v>63</v>
      </c>
      <c r="W176" t="s">
        <v>63</v>
      </c>
      <c r="X176" t="s">
        <v>63</v>
      </c>
      <c r="Y176" t="s">
        <v>63</v>
      </c>
      <c r="Z176" t="s">
        <v>63</v>
      </c>
      <c r="AB176" t="s">
        <v>63</v>
      </c>
      <c r="AC176" t="s">
        <v>63</v>
      </c>
      <c r="AD176" t="s">
        <v>63</v>
      </c>
      <c r="AE176">
        <v>127.5</v>
      </c>
      <c r="AF176">
        <v>10</v>
      </c>
      <c r="AG176">
        <v>87.5</v>
      </c>
      <c r="AH176">
        <v>87.5</v>
      </c>
      <c r="AI176">
        <v>87.5</v>
      </c>
      <c r="AJ176">
        <v>87.5</v>
      </c>
      <c r="AT176">
        <v>70.83</v>
      </c>
      <c r="AU176">
        <v>0</v>
      </c>
      <c r="AV176">
        <v>70.83</v>
      </c>
      <c r="AY176">
        <v>0</v>
      </c>
      <c r="AZ176">
        <v>0</v>
      </c>
      <c r="BA176">
        <v>87.5</v>
      </c>
      <c r="BB176">
        <v>76.39</v>
      </c>
      <c r="BC176">
        <v>26.25</v>
      </c>
      <c r="BD176">
        <v>68.75</v>
      </c>
      <c r="BE176">
        <f t="shared" si="5"/>
        <v>127.5</v>
      </c>
      <c r="BF176">
        <f t="shared" si="6"/>
        <v>78.75</v>
      </c>
      <c r="BG176" t="s">
        <v>758</v>
      </c>
    </row>
    <row r="177" spans="1:59" x14ac:dyDescent="0.3">
      <c r="A177" t="s">
        <v>460</v>
      </c>
      <c r="B177">
        <v>123326</v>
      </c>
      <c r="C177">
        <v>24266169</v>
      </c>
      <c r="D177" t="s">
        <v>461</v>
      </c>
      <c r="E177" t="s">
        <v>61</v>
      </c>
      <c r="F177" t="s">
        <v>66</v>
      </c>
      <c r="G177">
        <v>8</v>
      </c>
      <c r="H177">
        <v>10</v>
      </c>
      <c r="I177">
        <v>8.25</v>
      </c>
      <c r="K177" t="s">
        <v>63</v>
      </c>
      <c r="L177" t="s">
        <v>63</v>
      </c>
      <c r="M177" t="s">
        <v>63</v>
      </c>
      <c r="N177" t="s">
        <v>63</v>
      </c>
      <c r="P177" t="s">
        <v>63</v>
      </c>
      <c r="Q177" t="s">
        <v>63</v>
      </c>
      <c r="R177" t="s">
        <v>63</v>
      </c>
      <c r="S177" t="s">
        <v>63</v>
      </c>
      <c r="U177" t="s">
        <v>63</v>
      </c>
      <c r="V177" t="s">
        <v>63</v>
      </c>
      <c r="W177" t="s">
        <v>63</v>
      </c>
      <c r="X177" t="s">
        <v>63</v>
      </c>
      <c r="Z177" t="s">
        <v>63</v>
      </c>
      <c r="AA177" t="s">
        <v>63</v>
      </c>
      <c r="AB177" t="s">
        <v>63</v>
      </c>
      <c r="AC177" t="s">
        <v>63</v>
      </c>
      <c r="AD177" t="s">
        <v>63</v>
      </c>
      <c r="AE177">
        <v>127.5</v>
      </c>
      <c r="AF177">
        <v>10</v>
      </c>
      <c r="AG177">
        <v>87.5</v>
      </c>
      <c r="AH177">
        <v>87.5</v>
      </c>
      <c r="AI177">
        <v>87.5</v>
      </c>
      <c r="AJ177">
        <v>87.5</v>
      </c>
      <c r="AT177">
        <v>70.83</v>
      </c>
      <c r="AU177">
        <v>0</v>
      </c>
      <c r="AV177">
        <v>70.83</v>
      </c>
      <c r="AY177">
        <v>0</v>
      </c>
      <c r="AZ177">
        <v>0</v>
      </c>
      <c r="BA177">
        <v>87.5</v>
      </c>
      <c r="BB177">
        <v>76.39</v>
      </c>
      <c r="BC177">
        <v>26.25</v>
      </c>
      <c r="BD177">
        <v>68.75</v>
      </c>
      <c r="BE177">
        <f t="shared" si="5"/>
        <v>127.5</v>
      </c>
      <c r="BF177">
        <f t="shared" si="6"/>
        <v>78.75</v>
      </c>
      <c r="BG177" t="s">
        <v>758</v>
      </c>
    </row>
    <row r="178" spans="1:59" x14ac:dyDescent="0.3">
      <c r="A178" t="s">
        <v>504</v>
      </c>
      <c r="B178">
        <v>127753</v>
      </c>
      <c r="C178">
        <v>24335410</v>
      </c>
      <c r="D178" t="s">
        <v>505</v>
      </c>
      <c r="E178" t="s">
        <v>61</v>
      </c>
      <c r="F178" t="s">
        <v>62</v>
      </c>
      <c r="G178">
        <v>8.75</v>
      </c>
      <c r="H178">
        <v>10</v>
      </c>
      <c r="I178">
        <v>10</v>
      </c>
      <c r="J178" t="s">
        <v>63</v>
      </c>
      <c r="K178" t="s">
        <v>63</v>
      </c>
      <c r="L178" t="s">
        <v>63</v>
      </c>
      <c r="M178" t="s">
        <v>63</v>
      </c>
      <c r="O178" t="s">
        <v>63</v>
      </c>
      <c r="P178" t="s">
        <v>63</v>
      </c>
      <c r="Q178" t="s">
        <v>63</v>
      </c>
      <c r="R178" t="s">
        <v>63</v>
      </c>
      <c r="T178" t="s">
        <v>63</v>
      </c>
      <c r="U178" t="s">
        <v>63</v>
      </c>
      <c r="V178" t="s">
        <v>63</v>
      </c>
      <c r="W178" t="s">
        <v>63</v>
      </c>
      <c r="Y178" t="s">
        <v>63</v>
      </c>
      <c r="Z178" t="s">
        <v>63</v>
      </c>
      <c r="AA178" t="s">
        <v>63</v>
      </c>
      <c r="AB178" t="s">
        <v>63</v>
      </c>
      <c r="AD178" t="s">
        <v>63</v>
      </c>
      <c r="AE178">
        <v>120</v>
      </c>
      <c r="AF178">
        <v>10</v>
      </c>
      <c r="AG178">
        <v>95.83</v>
      </c>
      <c r="AH178">
        <v>95.83</v>
      </c>
      <c r="AI178">
        <v>95.83</v>
      </c>
      <c r="AJ178">
        <v>95.83</v>
      </c>
      <c r="AT178">
        <v>66.67</v>
      </c>
      <c r="AU178">
        <v>0</v>
      </c>
      <c r="AV178">
        <v>66.67</v>
      </c>
      <c r="AY178">
        <v>0</v>
      </c>
      <c r="AZ178">
        <v>0</v>
      </c>
      <c r="BA178">
        <v>95.83</v>
      </c>
      <c r="BB178">
        <v>76.39</v>
      </c>
      <c r="BC178">
        <v>28.75</v>
      </c>
      <c r="BD178">
        <v>68.75</v>
      </c>
      <c r="BE178">
        <f t="shared" si="5"/>
        <v>120</v>
      </c>
      <c r="BF178">
        <f t="shared" si="6"/>
        <v>78.75</v>
      </c>
      <c r="BG178" t="s">
        <v>758</v>
      </c>
    </row>
    <row r="179" spans="1:59" x14ac:dyDescent="0.3">
      <c r="A179" t="s">
        <v>124</v>
      </c>
      <c r="B179">
        <v>127217</v>
      </c>
      <c r="C179">
        <v>24328253</v>
      </c>
      <c r="D179" t="s">
        <v>125</v>
      </c>
      <c r="E179" t="s">
        <v>61</v>
      </c>
      <c r="F179" t="s">
        <v>77</v>
      </c>
      <c r="G179">
        <v>7.5</v>
      </c>
      <c r="H179">
        <v>10</v>
      </c>
      <c r="I179">
        <v>10</v>
      </c>
      <c r="J179" t="s">
        <v>63</v>
      </c>
      <c r="K179" t="s">
        <v>63</v>
      </c>
      <c r="L179" t="s">
        <v>63</v>
      </c>
      <c r="N179" t="s">
        <v>63</v>
      </c>
      <c r="O179" t="s">
        <v>63</v>
      </c>
      <c r="P179" t="s">
        <v>63</v>
      </c>
      <c r="Q179" t="s">
        <v>63</v>
      </c>
      <c r="S179" t="s">
        <v>63</v>
      </c>
      <c r="T179" t="s">
        <v>63</v>
      </c>
      <c r="U179" t="s">
        <v>63</v>
      </c>
      <c r="V179" t="s">
        <v>63</v>
      </c>
      <c r="X179" t="s">
        <v>63</v>
      </c>
      <c r="Y179" t="s">
        <v>63</v>
      </c>
      <c r="Z179" t="s">
        <v>63</v>
      </c>
      <c r="AA179" t="s">
        <v>63</v>
      </c>
      <c r="AC179" t="s">
        <v>63</v>
      </c>
      <c r="AD179" t="s">
        <v>63</v>
      </c>
      <c r="AE179">
        <v>123.5</v>
      </c>
      <c r="AF179">
        <v>10</v>
      </c>
      <c r="AG179">
        <v>91.67</v>
      </c>
      <c r="AH179">
        <v>91.67</v>
      </c>
      <c r="AI179">
        <v>91.67</v>
      </c>
      <c r="AJ179">
        <v>91.67</v>
      </c>
      <c r="AT179">
        <v>68.61</v>
      </c>
      <c r="AU179">
        <v>0</v>
      </c>
      <c r="AV179">
        <v>68.61</v>
      </c>
      <c r="AY179">
        <v>0</v>
      </c>
      <c r="AZ179">
        <v>0</v>
      </c>
      <c r="BA179">
        <v>91.67</v>
      </c>
      <c r="BB179">
        <v>76.3</v>
      </c>
      <c r="BC179">
        <v>27.5</v>
      </c>
      <c r="BD179">
        <v>68.67</v>
      </c>
      <c r="BE179">
        <f t="shared" si="5"/>
        <v>123.5</v>
      </c>
      <c r="BF179">
        <f t="shared" si="6"/>
        <v>78.666666666666657</v>
      </c>
      <c r="BG179" t="s">
        <v>758</v>
      </c>
    </row>
    <row r="180" spans="1:59" x14ac:dyDescent="0.3">
      <c r="A180" t="s">
        <v>168</v>
      </c>
      <c r="B180">
        <v>128267</v>
      </c>
      <c r="C180">
        <v>24342686</v>
      </c>
      <c r="D180" t="s">
        <v>169</v>
      </c>
      <c r="E180" t="s">
        <v>61</v>
      </c>
      <c r="F180" t="s">
        <v>62</v>
      </c>
      <c r="G180">
        <v>9</v>
      </c>
      <c r="H180">
        <v>10</v>
      </c>
      <c r="I180">
        <v>10</v>
      </c>
      <c r="J180" t="s">
        <v>63</v>
      </c>
      <c r="K180" t="s">
        <v>63</v>
      </c>
      <c r="L180" t="s">
        <v>63</v>
      </c>
      <c r="M180" t="s">
        <v>63</v>
      </c>
      <c r="O180" t="s">
        <v>63</v>
      </c>
      <c r="P180" t="s">
        <v>63</v>
      </c>
      <c r="Q180" t="s">
        <v>63</v>
      </c>
      <c r="R180" t="s">
        <v>63</v>
      </c>
      <c r="T180" t="s">
        <v>63</v>
      </c>
      <c r="U180" t="s">
        <v>63</v>
      </c>
      <c r="V180" t="s">
        <v>63</v>
      </c>
      <c r="W180" t="s">
        <v>63</v>
      </c>
      <c r="Y180" t="s">
        <v>63</v>
      </c>
      <c r="Z180" t="s">
        <v>63</v>
      </c>
      <c r="AA180" t="s">
        <v>63</v>
      </c>
      <c r="AB180" t="s">
        <v>63</v>
      </c>
      <c r="AD180" t="s">
        <v>63</v>
      </c>
      <c r="AE180">
        <v>119</v>
      </c>
      <c r="AF180">
        <v>10</v>
      </c>
      <c r="AG180">
        <v>96.67</v>
      </c>
      <c r="AH180">
        <v>96.67</v>
      </c>
      <c r="AI180">
        <v>96.67</v>
      </c>
      <c r="AJ180">
        <v>96.67</v>
      </c>
      <c r="AT180">
        <v>66.11</v>
      </c>
      <c r="AU180">
        <v>0</v>
      </c>
      <c r="AV180">
        <v>66.11</v>
      </c>
      <c r="AY180">
        <v>0</v>
      </c>
      <c r="AZ180">
        <v>0</v>
      </c>
      <c r="BA180">
        <v>96.67</v>
      </c>
      <c r="BB180">
        <v>76.3</v>
      </c>
      <c r="BC180">
        <v>29</v>
      </c>
      <c r="BD180">
        <v>68.67</v>
      </c>
      <c r="BE180">
        <f t="shared" si="5"/>
        <v>119</v>
      </c>
      <c r="BF180">
        <f t="shared" si="6"/>
        <v>78.666666666666657</v>
      </c>
      <c r="BG180" t="s">
        <v>758</v>
      </c>
    </row>
    <row r="181" spans="1:59" x14ac:dyDescent="0.3">
      <c r="A181" t="s">
        <v>446</v>
      </c>
      <c r="B181">
        <v>123931</v>
      </c>
      <c r="C181">
        <v>24283662</v>
      </c>
      <c r="D181" t="s">
        <v>447</v>
      </c>
      <c r="E181" t="s">
        <v>61</v>
      </c>
      <c r="F181" t="s">
        <v>77</v>
      </c>
      <c r="G181">
        <v>8.5</v>
      </c>
      <c r="H181">
        <v>10</v>
      </c>
      <c r="I181">
        <v>9</v>
      </c>
      <c r="J181" t="s">
        <v>63</v>
      </c>
      <c r="K181" t="s">
        <v>63</v>
      </c>
      <c r="L181" t="s">
        <v>63</v>
      </c>
      <c r="N181" t="s">
        <v>63</v>
      </c>
      <c r="O181" t="s">
        <v>63</v>
      </c>
      <c r="P181" t="s">
        <v>63</v>
      </c>
      <c r="Q181" t="s">
        <v>63</v>
      </c>
      <c r="S181" t="s">
        <v>63</v>
      </c>
      <c r="T181" t="s">
        <v>63</v>
      </c>
      <c r="U181" t="s">
        <v>63</v>
      </c>
      <c r="V181" t="s">
        <v>63</v>
      </c>
      <c r="X181" t="s">
        <v>63</v>
      </c>
      <c r="Y181" t="s">
        <v>63</v>
      </c>
      <c r="Z181" t="s">
        <v>63</v>
      </c>
      <c r="AA181" t="s">
        <v>63</v>
      </c>
      <c r="AC181" t="s">
        <v>63</v>
      </c>
      <c r="AD181" t="s">
        <v>63</v>
      </c>
      <c r="AE181">
        <v>123.5</v>
      </c>
      <c r="AF181">
        <v>10</v>
      </c>
      <c r="AG181">
        <v>91.67</v>
      </c>
      <c r="AH181">
        <v>91.67</v>
      </c>
      <c r="AI181">
        <v>91.67</v>
      </c>
      <c r="AJ181">
        <v>91.67</v>
      </c>
      <c r="AT181">
        <v>68.61</v>
      </c>
      <c r="AU181">
        <v>0</v>
      </c>
      <c r="AV181">
        <v>68.61</v>
      </c>
      <c r="AY181">
        <v>0</v>
      </c>
      <c r="AZ181">
        <v>0</v>
      </c>
      <c r="BA181">
        <v>91.67</v>
      </c>
      <c r="BB181">
        <v>76.3</v>
      </c>
      <c r="BC181">
        <v>27.5</v>
      </c>
      <c r="BD181">
        <v>68.67</v>
      </c>
      <c r="BE181">
        <f t="shared" si="5"/>
        <v>123.5</v>
      </c>
      <c r="BF181">
        <f t="shared" si="6"/>
        <v>78.666666666666657</v>
      </c>
      <c r="BG181" t="s">
        <v>758</v>
      </c>
    </row>
    <row r="182" spans="1:59" x14ac:dyDescent="0.3">
      <c r="A182" t="s">
        <v>650</v>
      </c>
      <c r="B182">
        <v>133936</v>
      </c>
      <c r="C182">
        <v>24385509</v>
      </c>
      <c r="D182" t="s">
        <v>651</v>
      </c>
      <c r="E182" t="s">
        <v>61</v>
      </c>
      <c r="F182" t="s">
        <v>72</v>
      </c>
      <c r="G182">
        <v>10</v>
      </c>
      <c r="H182">
        <v>10</v>
      </c>
      <c r="I182">
        <v>10</v>
      </c>
      <c r="J182" t="s">
        <v>63</v>
      </c>
      <c r="K182" t="s">
        <v>63</v>
      </c>
      <c r="M182" t="s">
        <v>63</v>
      </c>
      <c r="N182" t="s">
        <v>63</v>
      </c>
      <c r="O182" t="s">
        <v>63</v>
      </c>
      <c r="P182" t="s">
        <v>63</v>
      </c>
      <c r="R182" t="s">
        <v>63</v>
      </c>
      <c r="S182" t="s">
        <v>63</v>
      </c>
      <c r="T182" t="s">
        <v>63</v>
      </c>
      <c r="U182" t="s">
        <v>63</v>
      </c>
      <c r="W182" t="s">
        <v>63</v>
      </c>
      <c r="X182" t="s">
        <v>63</v>
      </c>
      <c r="Y182" t="s">
        <v>63</v>
      </c>
      <c r="Z182" t="s">
        <v>63</v>
      </c>
      <c r="AB182" t="s">
        <v>63</v>
      </c>
      <c r="AC182" t="s">
        <v>63</v>
      </c>
      <c r="AD182" t="s">
        <v>63</v>
      </c>
      <c r="AE182">
        <v>116</v>
      </c>
      <c r="AF182">
        <v>10</v>
      </c>
      <c r="AG182">
        <v>100</v>
      </c>
      <c r="AH182">
        <v>100</v>
      </c>
      <c r="AI182">
        <v>100</v>
      </c>
      <c r="AJ182">
        <v>100</v>
      </c>
      <c r="AT182">
        <v>64.44</v>
      </c>
      <c r="AU182">
        <v>0</v>
      </c>
      <c r="AV182">
        <v>64.44</v>
      </c>
      <c r="AY182">
        <v>0</v>
      </c>
      <c r="AZ182">
        <v>0</v>
      </c>
      <c r="BA182">
        <v>100</v>
      </c>
      <c r="BB182">
        <v>76.3</v>
      </c>
      <c r="BC182">
        <v>30</v>
      </c>
      <c r="BD182">
        <v>68.67</v>
      </c>
      <c r="BE182">
        <f t="shared" si="5"/>
        <v>116</v>
      </c>
      <c r="BF182">
        <f t="shared" si="6"/>
        <v>78.666666666666657</v>
      </c>
      <c r="BG182" t="s">
        <v>758</v>
      </c>
    </row>
    <row r="183" spans="1:59" x14ac:dyDescent="0.3">
      <c r="A183" t="s">
        <v>690</v>
      </c>
      <c r="B183">
        <v>126328</v>
      </c>
      <c r="C183">
        <v>24313922</v>
      </c>
      <c r="D183" t="s">
        <v>691</v>
      </c>
      <c r="E183" t="s">
        <v>61</v>
      </c>
      <c r="F183" t="s">
        <v>66</v>
      </c>
      <c r="G183">
        <v>10</v>
      </c>
      <c r="H183">
        <v>10</v>
      </c>
      <c r="I183">
        <v>10</v>
      </c>
      <c r="K183" t="s">
        <v>63</v>
      </c>
      <c r="L183" t="s">
        <v>63</v>
      </c>
      <c r="M183" t="s">
        <v>63</v>
      </c>
      <c r="N183" t="s">
        <v>63</v>
      </c>
      <c r="P183" t="s">
        <v>63</v>
      </c>
      <c r="Q183" t="s">
        <v>63</v>
      </c>
      <c r="R183" t="s">
        <v>63</v>
      </c>
      <c r="S183" t="s">
        <v>63</v>
      </c>
      <c r="U183" t="s">
        <v>63</v>
      </c>
      <c r="V183" t="s">
        <v>63</v>
      </c>
      <c r="W183" t="s">
        <v>63</v>
      </c>
      <c r="X183" t="s">
        <v>63</v>
      </c>
      <c r="Z183" t="s">
        <v>63</v>
      </c>
      <c r="AA183" t="s">
        <v>63</v>
      </c>
      <c r="AB183" t="s">
        <v>63</v>
      </c>
      <c r="AC183" t="s">
        <v>63</v>
      </c>
      <c r="AD183" t="s">
        <v>63</v>
      </c>
      <c r="AE183">
        <v>116</v>
      </c>
      <c r="AF183">
        <v>10</v>
      </c>
      <c r="AG183">
        <v>100</v>
      </c>
      <c r="AH183">
        <v>100</v>
      </c>
      <c r="AI183">
        <v>100</v>
      </c>
      <c r="AJ183">
        <v>100</v>
      </c>
      <c r="AT183">
        <v>64.44</v>
      </c>
      <c r="AU183">
        <v>0</v>
      </c>
      <c r="AV183">
        <v>64.44</v>
      </c>
      <c r="AY183">
        <v>0</v>
      </c>
      <c r="AZ183">
        <v>0</v>
      </c>
      <c r="BA183">
        <v>100</v>
      </c>
      <c r="BB183">
        <v>76.3</v>
      </c>
      <c r="BC183">
        <v>30</v>
      </c>
      <c r="BD183">
        <v>68.67</v>
      </c>
      <c r="BE183">
        <f t="shared" si="5"/>
        <v>116</v>
      </c>
      <c r="BF183">
        <f t="shared" si="6"/>
        <v>78.666666666666657</v>
      </c>
      <c r="BG183" t="s">
        <v>758</v>
      </c>
    </row>
    <row r="184" spans="1:59" x14ac:dyDescent="0.3">
      <c r="A184" t="s">
        <v>716</v>
      </c>
      <c r="B184">
        <v>132953</v>
      </c>
      <c r="C184">
        <v>24377366</v>
      </c>
      <c r="D184" t="s">
        <v>717</v>
      </c>
      <c r="E184" t="s">
        <v>61</v>
      </c>
      <c r="F184" t="s">
        <v>77</v>
      </c>
      <c r="G184">
        <v>9.5</v>
      </c>
      <c r="H184">
        <v>10</v>
      </c>
      <c r="I184">
        <v>10</v>
      </c>
      <c r="J184" t="s">
        <v>63</v>
      </c>
      <c r="K184" t="s">
        <v>63</v>
      </c>
      <c r="L184" t="s">
        <v>63</v>
      </c>
      <c r="N184" t="s">
        <v>63</v>
      </c>
      <c r="O184" t="s">
        <v>63</v>
      </c>
      <c r="P184" t="s">
        <v>63</v>
      </c>
      <c r="Q184" t="s">
        <v>63</v>
      </c>
      <c r="S184" t="s">
        <v>63</v>
      </c>
      <c r="T184" t="s">
        <v>63</v>
      </c>
      <c r="U184" t="s">
        <v>63</v>
      </c>
      <c r="V184" t="s">
        <v>63</v>
      </c>
      <c r="X184" t="s">
        <v>63</v>
      </c>
      <c r="Y184" t="s">
        <v>63</v>
      </c>
      <c r="Z184" t="s">
        <v>63</v>
      </c>
      <c r="AA184" t="s">
        <v>63</v>
      </c>
      <c r="AC184" t="s">
        <v>63</v>
      </c>
      <c r="AD184" t="s">
        <v>63</v>
      </c>
      <c r="AE184">
        <v>117.5</v>
      </c>
      <c r="AF184">
        <v>10</v>
      </c>
      <c r="AG184">
        <v>98.33</v>
      </c>
      <c r="AH184">
        <v>98.33</v>
      </c>
      <c r="AI184">
        <v>98.33</v>
      </c>
      <c r="AJ184">
        <v>98.33</v>
      </c>
      <c r="AT184">
        <v>65.28</v>
      </c>
      <c r="AU184">
        <v>0</v>
      </c>
      <c r="AV184">
        <v>65.28</v>
      </c>
      <c r="AY184">
        <v>0</v>
      </c>
      <c r="AZ184">
        <v>0</v>
      </c>
      <c r="BA184">
        <v>98.33</v>
      </c>
      <c r="BB184">
        <v>76.3</v>
      </c>
      <c r="BC184">
        <v>29.5</v>
      </c>
      <c r="BD184">
        <v>68.67</v>
      </c>
      <c r="BE184">
        <f t="shared" si="5"/>
        <v>117.5</v>
      </c>
      <c r="BF184">
        <f t="shared" si="6"/>
        <v>78.666666666666657</v>
      </c>
      <c r="BG184" t="s">
        <v>758</v>
      </c>
    </row>
    <row r="185" spans="1:59" x14ac:dyDescent="0.3">
      <c r="A185" t="s">
        <v>736</v>
      </c>
      <c r="B185">
        <v>129978</v>
      </c>
      <c r="C185">
        <v>24361250</v>
      </c>
      <c r="D185" t="s">
        <v>737</v>
      </c>
      <c r="E185" t="s">
        <v>61</v>
      </c>
      <c r="F185" t="s">
        <v>77</v>
      </c>
      <c r="G185">
        <v>7</v>
      </c>
      <c r="H185">
        <v>10</v>
      </c>
      <c r="I185">
        <v>9.5</v>
      </c>
      <c r="J185" t="s">
        <v>63</v>
      </c>
      <c r="K185" t="s">
        <v>63</v>
      </c>
      <c r="L185" t="s">
        <v>63</v>
      </c>
      <c r="N185" t="s">
        <v>63</v>
      </c>
      <c r="O185" t="s">
        <v>63</v>
      </c>
      <c r="P185" t="s">
        <v>63</v>
      </c>
      <c r="Q185" t="s">
        <v>63</v>
      </c>
      <c r="S185" t="s">
        <v>63</v>
      </c>
      <c r="T185" t="s">
        <v>63</v>
      </c>
      <c r="U185" t="s">
        <v>63</v>
      </c>
      <c r="V185" t="s">
        <v>63</v>
      </c>
      <c r="X185" t="s">
        <v>63</v>
      </c>
      <c r="Y185" t="s">
        <v>63</v>
      </c>
      <c r="Z185" t="s">
        <v>63</v>
      </c>
      <c r="AA185" t="s">
        <v>63</v>
      </c>
      <c r="AC185" t="s">
        <v>63</v>
      </c>
      <c r="AD185" t="s">
        <v>63</v>
      </c>
      <c r="AE185">
        <v>126.5</v>
      </c>
      <c r="AF185">
        <v>10</v>
      </c>
      <c r="AG185">
        <v>88.33</v>
      </c>
      <c r="AH185">
        <v>88.33</v>
      </c>
      <c r="AI185">
        <v>88.33</v>
      </c>
      <c r="AJ185">
        <v>88.33</v>
      </c>
      <c r="AT185">
        <v>70.28</v>
      </c>
      <c r="AU185">
        <v>0</v>
      </c>
      <c r="AV185">
        <v>70.28</v>
      </c>
      <c r="AY185">
        <v>0</v>
      </c>
      <c r="AZ185">
        <v>0</v>
      </c>
      <c r="BA185">
        <v>88.33</v>
      </c>
      <c r="BB185">
        <v>76.3</v>
      </c>
      <c r="BC185">
        <v>26.5</v>
      </c>
      <c r="BD185">
        <v>68.67</v>
      </c>
      <c r="BE185">
        <f t="shared" si="5"/>
        <v>126.5</v>
      </c>
      <c r="BF185">
        <f t="shared" si="6"/>
        <v>78.666666666666657</v>
      </c>
      <c r="BG185" t="s">
        <v>758</v>
      </c>
    </row>
    <row r="186" spans="1:59" x14ac:dyDescent="0.3">
      <c r="A186" t="s">
        <v>182</v>
      </c>
      <c r="B186">
        <v>128012</v>
      </c>
      <c r="C186">
        <v>24338062</v>
      </c>
      <c r="D186" t="s">
        <v>183</v>
      </c>
      <c r="E186" t="s">
        <v>61</v>
      </c>
      <c r="F186" t="s">
        <v>66</v>
      </c>
      <c r="G186">
        <v>7.75</v>
      </c>
      <c r="H186">
        <v>10</v>
      </c>
      <c r="I186">
        <v>9.5</v>
      </c>
      <c r="K186" t="s">
        <v>63</v>
      </c>
      <c r="L186" t="s">
        <v>63</v>
      </c>
      <c r="M186" t="s">
        <v>63</v>
      </c>
      <c r="N186" t="s">
        <v>63</v>
      </c>
      <c r="P186" t="s">
        <v>63</v>
      </c>
      <c r="Q186" t="s">
        <v>63</v>
      </c>
      <c r="R186" t="s">
        <v>63</v>
      </c>
      <c r="S186" t="s">
        <v>63</v>
      </c>
      <c r="U186" t="s">
        <v>63</v>
      </c>
      <c r="V186" t="s">
        <v>63</v>
      </c>
      <c r="W186" t="s">
        <v>63</v>
      </c>
      <c r="X186" t="s">
        <v>63</v>
      </c>
      <c r="Z186" t="s">
        <v>63</v>
      </c>
      <c r="AA186" t="s">
        <v>63</v>
      </c>
      <c r="AB186" t="s">
        <v>63</v>
      </c>
      <c r="AC186" t="s">
        <v>63</v>
      </c>
      <c r="AD186" t="s">
        <v>63</v>
      </c>
      <c r="AE186">
        <v>124</v>
      </c>
      <c r="AF186">
        <v>10</v>
      </c>
      <c r="AG186">
        <v>90.83</v>
      </c>
      <c r="AH186">
        <v>90.83</v>
      </c>
      <c r="AI186">
        <v>90.83</v>
      </c>
      <c r="AJ186">
        <v>90.83</v>
      </c>
      <c r="AT186">
        <v>68.89</v>
      </c>
      <c r="AU186">
        <v>0</v>
      </c>
      <c r="AV186">
        <v>68.89</v>
      </c>
      <c r="AY186">
        <v>0</v>
      </c>
      <c r="AZ186">
        <v>0</v>
      </c>
      <c r="BA186">
        <v>90.83</v>
      </c>
      <c r="BB186">
        <v>76.2</v>
      </c>
      <c r="BC186">
        <v>27.25</v>
      </c>
      <c r="BD186">
        <v>68.58</v>
      </c>
      <c r="BE186">
        <f t="shared" si="5"/>
        <v>124</v>
      </c>
      <c r="BF186">
        <f t="shared" si="6"/>
        <v>78.583333333333343</v>
      </c>
      <c r="BG186" t="s">
        <v>758</v>
      </c>
    </row>
    <row r="187" spans="1:59" x14ac:dyDescent="0.3">
      <c r="A187" t="s">
        <v>394</v>
      </c>
      <c r="B187">
        <v>126150</v>
      </c>
      <c r="C187">
        <v>24310998</v>
      </c>
      <c r="D187" t="s">
        <v>395</v>
      </c>
      <c r="E187" t="s">
        <v>61</v>
      </c>
      <c r="F187" t="s">
        <v>62</v>
      </c>
      <c r="G187">
        <v>8</v>
      </c>
      <c r="H187">
        <v>10</v>
      </c>
      <c r="I187">
        <v>10</v>
      </c>
      <c r="J187" t="s">
        <v>63</v>
      </c>
      <c r="K187" t="s">
        <v>63</v>
      </c>
      <c r="L187" t="s">
        <v>63</v>
      </c>
      <c r="M187" t="s">
        <v>63</v>
      </c>
      <c r="O187" t="s">
        <v>63</v>
      </c>
      <c r="P187" t="s">
        <v>63</v>
      </c>
      <c r="Q187" t="s">
        <v>63</v>
      </c>
      <c r="R187" t="s">
        <v>63</v>
      </c>
      <c r="T187" t="s">
        <v>63</v>
      </c>
      <c r="U187" t="s">
        <v>63</v>
      </c>
      <c r="V187" t="s">
        <v>63</v>
      </c>
      <c r="W187" t="s">
        <v>63</v>
      </c>
      <c r="Y187" t="s">
        <v>63</v>
      </c>
      <c r="Z187" t="s">
        <v>63</v>
      </c>
      <c r="AA187" t="s">
        <v>63</v>
      </c>
      <c r="AB187" t="s">
        <v>63</v>
      </c>
      <c r="AD187" t="s">
        <v>63</v>
      </c>
      <c r="AE187">
        <v>121.5</v>
      </c>
      <c r="AF187">
        <v>10</v>
      </c>
      <c r="AG187">
        <v>93.33</v>
      </c>
      <c r="AH187">
        <v>93.33</v>
      </c>
      <c r="AI187">
        <v>93.33</v>
      </c>
      <c r="AJ187">
        <v>93.33</v>
      </c>
      <c r="AT187">
        <v>67.5</v>
      </c>
      <c r="AU187">
        <v>0</v>
      </c>
      <c r="AV187">
        <v>67.5</v>
      </c>
      <c r="AY187">
        <v>0</v>
      </c>
      <c r="AZ187">
        <v>0</v>
      </c>
      <c r="BA187">
        <v>93.33</v>
      </c>
      <c r="BB187">
        <v>76.11</v>
      </c>
      <c r="BC187">
        <v>28</v>
      </c>
      <c r="BD187">
        <v>68.5</v>
      </c>
      <c r="BE187">
        <f t="shared" si="5"/>
        <v>121.5</v>
      </c>
      <c r="BF187">
        <f t="shared" si="6"/>
        <v>78.5</v>
      </c>
      <c r="BG187" t="s">
        <v>758</v>
      </c>
    </row>
    <row r="188" spans="1:59" x14ac:dyDescent="0.3">
      <c r="A188" t="s">
        <v>508</v>
      </c>
      <c r="B188">
        <v>126985</v>
      </c>
      <c r="C188">
        <v>24323646</v>
      </c>
      <c r="D188" t="s">
        <v>509</v>
      </c>
      <c r="E188" t="s">
        <v>61</v>
      </c>
      <c r="F188" t="s">
        <v>62</v>
      </c>
      <c r="G188">
        <v>10</v>
      </c>
      <c r="H188">
        <v>10</v>
      </c>
      <c r="I188">
        <v>10</v>
      </c>
      <c r="J188" t="s">
        <v>63</v>
      </c>
      <c r="K188" t="s">
        <v>63</v>
      </c>
      <c r="L188" t="s">
        <v>63</v>
      </c>
      <c r="M188" t="s">
        <v>63</v>
      </c>
      <c r="O188" t="s">
        <v>63</v>
      </c>
      <c r="P188" t="s">
        <v>63</v>
      </c>
      <c r="Q188" t="s">
        <v>63</v>
      </c>
      <c r="R188" t="s">
        <v>63</v>
      </c>
      <c r="T188" t="s">
        <v>63</v>
      </c>
      <c r="U188" t="s">
        <v>63</v>
      </c>
      <c r="V188" t="s">
        <v>63</v>
      </c>
      <c r="W188" t="s">
        <v>63</v>
      </c>
      <c r="Y188" t="s">
        <v>63</v>
      </c>
      <c r="Z188" t="s">
        <v>63</v>
      </c>
      <c r="AA188" t="s">
        <v>63</v>
      </c>
      <c r="AB188" t="s">
        <v>63</v>
      </c>
      <c r="AD188" t="s">
        <v>63</v>
      </c>
      <c r="AE188">
        <v>115.5</v>
      </c>
      <c r="AF188">
        <v>10</v>
      </c>
      <c r="AG188">
        <v>100</v>
      </c>
      <c r="AH188">
        <v>100</v>
      </c>
      <c r="AI188">
        <v>100</v>
      </c>
      <c r="AJ188">
        <v>100</v>
      </c>
      <c r="AT188">
        <v>64.17</v>
      </c>
      <c r="AU188">
        <v>0</v>
      </c>
      <c r="AV188">
        <v>64.17</v>
      </c>
      <c r="AY188">
        <v>0</v>
      </c>
      <c r="AZ188">
        <v>0</v>
      </c>
      <c r="BA188">
        <v>100</v>
      </c>
      <c r="BB188">
        <v>76.11</v>
      </c>
      <c r="BC188">
        <v>30</v>
      </c>
      <c r="BD188">
        <v>68.5</v>
      </c>
      <c r="BE188">
        <f t="shared" si="5"/>
        <v>115.5</v>
      </c>
      <c r="BF188">
        <f t="shared" si="6"/>
        <v>78.5</v>
      </c>
      <c r="BG188" t="s">
        <v>758</v>
      </c>
    </row>
    <row r="189" spans="1:59" x14ac:dyDescent="0.3">
      <c r="A189" t="s">
        <v>518</v>
      </c>
      <c r="B189">
        <v>122893</v>
      </c>
      <c r="C189">
        <v>24275281</v>
      </c>
      <c r="D189" t="s">
        <v>519</v>
      </c>
      <c r="E189" t="s">
        <v>61</v>
      </c>
      <c r="F189" t="s">
        <v>69</v>
      </c>
      <c r="G189">
        <v>10</v>
      </c>
      <c r="H189">
        <v>10</v>
      </c>
      <c r="I189">
        <v>9.5</v>
      </c>
      <c r="J189" t="s">
        <v>63</v>
      </c>
      <c r="L189" t="s">
        <v>63</v>
      </c>
      <c r="M189" t="s">
        <v>63</v>
      </c>
      <c r="N189" t="s">
        <v>63</v>
      </c>
      <c r="O189" t="s">
        <v>63</v>
      </c>
      <c r="Q189" t="s">
        <v>63</v>
      </c>
      <c r="R189" t="s">
        <v>63</v>
      </c>
      <c r="S189" t="s">
        <v>63</v>
      </c>
      <c r="T189" t="s">
        <v>63</v>
      </c>
      <c r="V189" t="s">
        <v>63</v>
      </c>
      <c r="W189" t="s">
        <v>63</v>
      </c>
      <c r="X189" t="s">
        <v>63</v>
      </c>
      <c r="Y189" t="s">
        <v>63</v>
      </c>
      <c r="AA189" t="s">
        <v>63</v>
      </c>
      <c r="AB189" t="s">
        <v>63</v>
      </c>
      <c r="AC189" t="s">
        <v>63</v>
      </c>
      <c r="AD189" t="s">
        <v>63</v>
      </c>
      <c r="AE189">
        <v>117</v>
      </c>
      <c r="AF189">
        <v>10</v>
      </c>
      <c r="AG189">
        <v>98.33</v>
      </c>
      <c r="AH189">
        <v>98.33</v>
      </c>
      <c r="AI189">
        <v>98.33</v>
      </c>
      <c r="AJ189">
        <v>98.33</v>
      </c>
      <c r="AT189">
        <v>65</v>
      </c>
      <c r="AU189">
        <v>0</v>
      </c>
      <c r="AV189">
        <v>65</v>
      </c>
      <c r="AY189">
        <v>0</v>
      </c>
      <c r="AZ189">
        <v>0</v>
      </c>
      <c r="BA189">
        <v>98.33</v>
      </c>
      <c r="BB189">
        <v>76.11</v>
      </c>
      <c r="BC189">
        <v>29.5</v>
      </c>
      <c r="BD189">
        <v>68.5</v>
      </c>
      <c r="BE189">
        <f t="shared" si="5"/>
        <v>117</v>
      </c>
      <c r="BF189">
        <f t="shared" si="6"/>
        <v>78.5</v>
      </c>
      <c r="BG189" t="s">
        <v>758</v>
      </c>
    </row>
    <row r="190" spans="1:59" x14ac:dyDescent="0.3">
      <c r="A190" t="s">
        <v>152</v>
      </c>
      <c r="B190">
        <v>132897</v>
      </c>
      <c r="C190">
        <v>24374476</v>
      </c>
      <c r="D190" t="s">
        <v>153</v>
      </c>
      <c r="E190" t="s">
        <v>61</v>
      </c>
      <c r="F190" t="s">
        <v>62</v>
      </c>
      <c r="G190">
        <v>8</v>
      </c>
      <c r="H190">
        <v>8.25</v>
      </c>
      <c r="I190">
        <v>9</v>
      </c>
      <c r="J190" t="s">
        <v>63</v>
      </c>
      <c r="K190" t="s">
        <v>63</v>
      </c>
      <c r="L190" t="s">
        <v>63</v>
      </c>
      <c r="M190" t="s">
        <v>63</v>
      </c>
      <c r="O190" t="s">
        <v>63</v>
      </c>
      <c r="P190" t="s">
        <v>63</v>
      </c>
      <c r="Q190" t="s">
        <v>63</v>
      </c>
      <c r="R190" t="s">
        <v>63</v>
      </c>
      <c r="T190" t="s">
        <v>63</v>
      </c>
      <c r="U190" t="s">
        <v>63</v>
      </c>
      <c r="V190" t="s">
        <v>63</v>
      </c>
      <c r="W190" t="s">
        <v>63</v>
      </c>
      <c r="Y190" t="s">
        <v>63</v>
      </c>
      <c r="Z190" t="s">
        <v>63</v>
      </c>
      <c r="AA190" t="s">
        <v>63</v>
      </c>
      <c r="AB190" t="s">
        <v>63</v>
      </c>
      <c r="AD190">
        <v>129.5</v>
      </c>
      <c r="AF190">
        <v>10</v>
      </c>
      <c r="AG190">
        <v>84.17</v>
      </c>
      <c r="AH190">
        <v>84.17</v>
      </c>
      <c r="AI190">
        <v>84.17</v>
      </c>
      <c r="AJ190">
        <v>84.17</v>
      </c>
      <c r="AT190">
        <v>71.94</v>
      </c>
      <c r="AU190">
        <v>0</v>
      </c>
      <c r="AV190">
        <v>35.97</v>
      </c>
      <c r="AY190">
        <v>0</v>
      </c>
      <c r="AZ190">
        <v>0</v>
      </c>
      <c r="BA190">
        <v>84.17</v>
      </c>
      <c r="BB190">
        <v>76.02</v>
      </c>
      <c r="BC190">
        <v>25.25</v>
      </c>
      <c r="BD190">
        <v>46.83</v>
      </c>
      <c r="BE190">
        <f t="shared" si="5"/>
        <v>129.5</v>
      </c>
      <c r="BF190">
        <f t="shared" si="6"/>
        <v>78.416666666666657</v>
      </c>
      <c r="BG190" t="s">
        <v>758</v>
      </c>
    </row>
    <row r="191" spans="1:59" x14ac:dyDescent="0.3">
      <c r="A191" t="s">
        <v>652</v>
      </c>
      <c r="B191">
        <v>129967</v>
      </c>
      <c r="C191">
        <v>24361318</v>
      </c>
      <c r="D191" t="s">
        <v>653</v>
      </c>
      <c r="E191" t="s">
        <v>61</v>
      </c>
      <c r="F191" t="s">
        <v>66</v>
      </c>
      <c r="G191">
        <v>6.25</v>
      </c>
      <c r="H191">
        <v>8</v>
      </c>
      <c r="I191">
        <v>9</v>
      </c>
      <c r="K191" t="s">
        <v>63</v>
      </c>
      <c r="L191" t="s">
        <v>63</v>
      </c>
      <c r="M191" t="s">
        <v>63</v>
      </c>
      <c r="N191" t="s">
        <v>63</v>
      </c>
      <c r="P191" t="s">
        <v>63</v>
      </c>
      <c r="Q191" t="s">
        <v>63</v>
      </c>
      <c r="R191" t="s">
        <v>63</v>
      </c>
      <c r="S191" t="s">
        <v>63</v>
      </c>
      <c r="U191" t="s">
        <v>63</v>
      </c>
      <c r="V191" t="s">
        <v>63</v>
      </c>
      <c r="W191" t="s">
        <v>63</v>
      </c>
      <c r="X191" t="s">
        <v>63</v>
      </c>
      <c r="Z191" t="s">
        <v>63</v>
      </c>
      <c r="AA191" t="s">
        <v>63</v>
      </c>
      <c r="AB191" t="s">
        <v>63</v>
      </c>
      <c r="AC191" t="s">
        <v>63</v>
      </c>
      <c r="AD191" t="s">
        <v>63</v>
      </c>
      <c r="AE191">
        <v>135</v>
      </c>
      <c r="AF191">
        <v>10</v>
      </c>
      <c r="AG191">
        <v>77.5</v>
      </c>
      <c r="AH191">
        <v>77.5</v>
      </c>
      <c r="AI191">
        <v>77.5</v>
      </c>
      <c r="AJ191">
        <v>77.5</v>
      </c>
      <c r="AT191">
        <v>75</v>
      </c>
      <c r="AU191">
        <v>0</v>
      </c>
      <c r="AV191">
        <v>75</v>
      </c>
      <c r="AY191">
        <v>0</v>
      </c>
      <c r="AZ191">
        <v>0</v>
      </c>
      <c r="BA191">
        <v>77.5</v>
      </c>
      <c r="BB191">
        <v>75.83</v>
      </c>
      <c r="BC191">
        <v>23.25</v>
      </c>
      <c r="BD191">
        <v>68.25</v>
      </c>
      <c r="BE191">
        <f t="shared" si="5"/>
        <v>135</v>
      </c>
      <c r="BF191">
        <f t="shared" si="6"/>
        <v>78.25</v>
      </c>
      <c r="BG191" t="s">
        <v>758</v>
      </c>
    </row>
    <row r="192" spans="1:59" x14ac:dyDescent="0.3">
      <c r="A192" t="s">
        <v>216</v>
      </c>
      <c r="B192">
        <v>130002</v>
      </c>
      <c r="C192">
        <v>24361437</v>
      </c>
      <c r="D192" t="s">
        <v>217</v>
      </c>
      <c r="E192" t="s">
        <v>61</v>
      </c>
      <c r="F192" t="s">
        <v>66</v>
      </c>
      <c r="G192">
        <v>10</v>
      </c>
      <c r="H192">
        <v>10</v>
      </c>
      <c r="I192">
        <v>8.25</v>
      </c>
      <c r="K192" t="s">
        <v>63</v>
      </c>
      <c r="L192" t="s">
        <v>63</v>
      </c>
      <c r="M192" t="s">
        <v>63</v>
      </c>
      <c r="N192" t="s">
        <v>63</v>
      </c>
      <c r="P192" t="s">
        <v>63</v>
      </c>
      <c r="Q192" t="s">
        <v>63</v>
      </c>
      <c r="R192" t="s">
        <v>63</v>
      </c>
      <c r="S192" t="s">
        <v>63</v>
      </c>
      <c r="U192" t="s">
        <v>63</v>
      </c>
      <c r="V192" t="s">
        <v>63</v>
      </c>
      <c r="W192" t="s">
        <v>63</v>
      </c>
      <c r="X192" t="s">
        <v>63</v>
      </c>
      <c r="Z192" t="s">
        <v>63</v>
      </c>
      <c r="AA192" t="s">
        <v>63</v>
      </c>
      <c r="AB192" t="s">
        <v>63</v>
      </c>
      <c r="AC192" t="s">
        <v>63</v>
      </c>
      <c r="AD192" t="s">
        <v>63</v>
      </c>
      <c r="AE192">
        <v>119.5</v>
      </c>
      <c r="AF192">
        <v>10</v>
      </c>
      <c r="AG192">
        <v>94.17</v>
      </c>
      <c r="AH192">
        <v>94.17</v>
      </c>
      <c r="AI192">
        <v>94.17</v>
      </c>
      <c r="AJ192">
        <v>94.17</v>
      </c>
      <c r="AT192">
        <v>66.39</v>
      </c>
      <c r="AU192">
        <v>0</v>
      </c>
      <c r="AV192">
        <v>66.39</v>
      </c>
      <c r="AY192">
        <v>0</v>
      </c>
      <c r="AZ192">
        <v>0</v>
      </c>
      <c r="BA192">
        <v>94.17</v>
      </c>
      <c r="BB192">
        <v>75.650000000000006</v>
      </c>
      <c r="BC192">
        <v>28.25</v>
      </c>
      <c r="BD192">
        <v>68.08</v>
      </c>
      <c r="BE192">
        <f t="shared" si="5"/>
        <v>119.5</v>
      </c>
      <c r="BF192">
        <f t="shared" si="6"/>
        <v>78.083333333333343</v>
      </c>
      <c r="BG192" t="s">
        <v>758</v>
      </c>
    </row>
    <row r="193" spans="1:59" x14ac:dyDescent="0.3">
      <c r="A193" t="s">
        <v>470</v>
      </c>
      <c r="B193">
        <v>128869</v>
      </c>
      <c r="C193">
        <v>24351050</v>
      </c>
      <c r="D193" t="s">
        <v>471</v>
      </c>
      <c r="E193" t="s">
        <v>61</v>
      </c>
      <c r="F193" t="s">
        <v>66</v>
      </c>
      <c r="G193">
        <v>7.5</v>
      </c>
      <c r="H193">
        <v>10</v>
      </c>
      <c r="I193">
        <v>9</v>
      </c>
      <c r="K193" t="s">
        <v>63</v>
      </c>
      <c r="L193" t="s">
        <v>63</v>
      </c>
      <c r="M193" t="s">
        <v>63</v>
      </c>
      <c r="N193" t="s">
        <v>63</v>
      </c>
      <c r="P193" t="s">
        <v>63</v>
      </c>
      <c r="Q193" t="s">
        <v>63</v>
      </c>
      <c r="R193" t="s">
        <v>63</v>
      </c>
      <c r="S193" t="s">
        <v>63</v>
      </c>
      <c r="U193" t="s">
        <v>63</v>
      </c>
      <c r="V193" t="s">
        <v>63</v>
      </c>
      <c r="W193" t="s">
        <v>63</v>
      </c>
      <c r="X193" t="s">
        <v>63</v>
      </c>
      <c r="Z193" t="s">
        <v>63</v>
      </c>
      <c r="AA193" t="s">
        <v>63</v>
      </c>
      <c r="AB193" t="s">
        <v>63</v>
      </c>
      <c r="AC193" t="s">
        <v>63</v>
      </c>
      <c r="AD193" t="s">
        <v>63</v>
      </c>
      <c r="AE193">
        <v>124.5</v>
      </c>
      <c r="AF193">
        <v>10</v>
      </c>
      <c r="AG193">
        <v>88.33</v>
      </c>
      <c r="AH193">
        <v>88.33</v>
      </c>
      <c r="AI193">
        <v>88.33</v>
      </c>
      <c r="AJ193">
        <v>88.33</v>
      </c>
      <c r="AT193">
        <v>69.17</v>
      </c>
      <c r="AU193">
        <v>0</v>
      </c>
      <c r="AV193">
        <v>69.17</v>
      </c>
      <c r="AY193">
        <v>0</v>
      </c>
      <c r="AZ193">
        <v>0</v>
      </c>
      <c r="BA193">
        <v>88.33</v>
      </c>
      <c r="BB193">
        <v>75.56</v>
      </c>
      <c r="BC193">
        <v>26.5</v>
      </c>
      <c r="BD193">
        <v>68</v>
      </c>
      <c r="BE193">
        <f t="shared" si="5"/>
        <v>124.5</v>
      </c>
      <c r="BF193">
        <f t="shared" si="6"/>
        <v>78</v>
      </c>
      <c r="BG193" t="s">
        <v>758</v>
      </c>
    </row>
    <row r="194" spans="1:59" x14ac:dyDescent="0.3">
      <c r="A194" t="s">
        <v>558</v>
      </c>
      <c r="B194">
        <v>122983</v>
      </c>
      <c r="C194">
        <v>24276811</v>
      </c>
      <c r="D194" t="s">
        <v>559</v>
      </c>
      <c r="E194" t="s">
        <v>61</v>
      </c>
      <c r="F194" t="s">
        <v>62</v>
      </c>
      <c r="G194">
        <v>6.25</v>
      </c>
      <c r="H194">
        <v>10</v>
      </c>
      <c r="I194">
        <v>10</v>
      </c>
      <c r="J194" t="s">
        <v>63</v>
      </c>
      <c r="K194" t="s">
        <v>63</v>
      </c>
      <c r="L194" t="s">
        <v>63</v>
      </c>
      <c r="M194" t="s">
        <v>63</v>
      </c>
      <c r="O194" t="s">
        <v>63</v>
      </c>
      <c r="P194" t="s">
        <v>63</v>
      </c>
      <c r="Q194" t="s">
        <v>63</v>
      </c>
      <c r="R194" t="s">
        <v>63</v>
      </c>
      <c r="T194" t="s">
        <v>63</v>
      </c>
      <c r="U194" t="s">
        <v>63</v>
      </c>
      <c r="V194" t="s">
        <v>63</v>
      </c>
      <c r="W194" t="s">
        <v>63</v>
      </c>
      <c r="Y194" t="s">
        <v>63</v>
      </c>
      <c r="Z194" t="s">
        <v>63</v>
      </c>
      <c r="AA194" t="s">
        <v>63</v>
      </c>
      <c r="AB194" t="s">
        <v>63</v>
      </c>
      <c r="AD194" t="s">
        <v>63</v>
      </c>
      <c r="AE194">
        <v>125</v>
      </c>
      <c r="AF194">
        <v>10</v>
      </c>
      <c r="AG194">
        <v>87.5</v>
      </c>
      <c r="AH194">
        <v>87.5</v>
      </c>
      <c r="AI194">
        <v>87.5</v>
      </c>
      <c r="AJ194">
        <v>87.5</v>
      </c>
      <c r="AT194">
        <v>69.44</v>
      </c>
      <c r="AU194">
        <v>0</v>
      </c>
      <c r="AV194">
        <v>69.44</v>
      </c>
      <c r="AY194">
        <v>0</v>
      </c>
      <c r="AZ194">
        <v>0</v>
      </c>
      <c r="BA194">
        <v>87.5</v>
      </c>
      <c r="BB194">
        <v>75.459999999999994</v>
      </c>
      <c r="BC194">
        <v>26.25</v>
      </c>
      <c r="BD194">
        <v>67.92</v>
      </c>
      <c r="BE194">
        <f t="shared" si="5"/>
        <v>125</v>
      </c>
      <c r="BF194">
        <f t="shared" si="6"/>
        <v>77.916666666666657</v>
      </c>
      <c r="BG194" t="s">
        <v>758</v>
      </c>
    </row>
    <row r="195" spans="1:59" x14ac:dyDescent="0.3">
      <c r="A195" t="s">
        <v>616</v>
      </c>
      <c r="B195">
        <v>108064</v>
      </c>
      <c r="C195">
        <v>10553707</v>
      </c>
      <c r="D195" t="s">
        <v>617</v>
      </c>
      <c r="E195" t="s">
        <v>61</v>
      </c>
      <c r="F195" t="s">
        <v>72</v>
      </c>
      <c r="G195">
        <v>6.25</v>
      </c>
      <c r="H195">
        <v>10</v>
      </c>
      <c r="I195">
        <v>10</v>
      </c>
      <c r="J195" t="s">
        <v>63</v>
      </c>
      <c r="K195" t="s">
        <v>63</v>
      </c>
      <c r="M195" t="s">
        <v>63</v>
      </c>
      <c r="N195" t="s">
        <v>63</v>
      </c>
      <c r="O195" t="s">
        <v>63</v>
      </c>
      <c r="P195" t="s">
        <v>63</v>
      </c>
      <c r="R195" t="s">
        <v>63</v>
      </c>
      <c r="S195" t="s">
        <v>63</v>
      </c>
      <c r="T195" t="s">
        <v>63</v>
      </c>
      <c r="U195" t="s">
        <v>63</v>
      </c>
      <c r="W195" t="s">
        <v>63</v>
      </c>
      <c r="X195" t="s">
        <v>63</v>
      </c>
      <c r="Y195" t="s">
        <v>63</v>
      </c>
      <c r="Z195" t="s">
        <v>63</v>
      </c>
      <c r="AB195" t="s">
        <v>63</v>
      </c>
      <c r="AC195" t="s">
        <v>63</v>
      </c>
      <c r="AD195" t="s">
        <v>63</v>
      </c>
      <c r="AE195">
        <v>125</v>
      </c>
      <c r="AF195">
        <v>10</v>
      </c>
      <c r="AG195">
        <v>87.5</v>
      </c>
      <c r="AH195">
        <v>87.5</v>
      </c>
      <c r="AI195">
        <v>87.5</v>
      </c>
      <c r="AJ195">
        <v>87.5</v>
      </c>
      <c r="AT195">
        <v>69.44</v>
      </c>
      <c r="AU195">
        <v>0</v>
      </c>
      <c r="AV195">
        <v>69.44</v>
      </c>
      <c r="AY195">
        <v>0</v>
      </c>
      <c r="AZ195">
        <v>0</v>
      </c>
      <c r="BA195">
        <v>87.5</v>
      </c>
      <c r="BB195">
        <v>75.459999999999994</v>
      </c>
      <c r="BC195">
        <v>26.25</v>
      </c>
      <c r="BD195">
        <v>67.92</v>
      </c>
      <c r="BE195">
        <f t="shared" si="5"/>
        <v>125</v>
      </c>
      <c r="BF195">
        <f t="shared" si="6"/>
        <v>77.916666666666657</v>
      </c>
      <c r="BG195" t="s">
        <v>758</v>
      </c>
    </row>
    <row r="196" spans="1:59" x14ac:dyDescent="0.3">
      <c r="A196" t="s">
        <v>178</v>
      </c>
      <c r="B196">
        <v>128016</v>
      </c>
      <c r="C196">
        <v>24337960</v>
      </c>
      <c r="D196" t="s">
        <v>179</v>
      </c>
      <c r="E196" t="s">
        <v>61</v>
      </c>
      <c r="F196" t="s">
        <v>77</v>
      </c>
      <c r="G196">
        <v>8</v>
      </c>
      <c r="H196">
        <v>10</v>
      </c>
      <c r="I196">
        <v>10</v>
      </c>
      <c r="J196" t="s">
        <v>63</v>
      </c>
      <c r="K196" t="s">
        <v>63</v>
      </c>
      <c r="L196" t="s">
        <v>63</v>
      </c>
      <c r="N196" t="s">
        <v>63</v>
      </c>
      <c r="O196" t="s">
        <v>63</v>
      </c>
      <c r="P196" t="s">
        <v>63</v>
      </c>
      <c r="Q196" t="s">
        <v>63</v>
      </c>
      <c r="S196" t="s">
        <v>63</v>
      </c>
      <c r="T196" t="s">
        <v>63</v>
      </c>
      <c r="U196" t="s">
        <v>63</v>
      </c>
      <c r="V196" t="s">
        <v>63</v>
      </c>
      <c r="X196" t="s">
        <v>63</v>
      </c>
      <c r="Y196" t="s">
        <v>63</v>
      </c>
      <c r="Z196" t="s">
        <v>63</v>
      </c>
      <c r="AA196" t="s">
        <v>63</v>
      </c>
      <c r="AC196" t="s">
        <v>63</v>
      </c>
      <c r="AD196" t="s">
        <v>63</v>
      </c>
      <c r="AE196">
        <v>119.5</v>
      </c>
      <c r="AF196">
        <v>10</v>
      </c>
      <c r="AG196">
        <v>93.33</v>
      </c>
      <c r="AH196">
        <v>93.33</v>
      </c>
      <c r="AI196">
        <v>93.33</v>
      </c>
      <c r="AJ196">
        <v>93.33</v>
      </c>
      <c r="AT196">
        <v>66.39</v>
      </c>
      <c r="AU196">
        <v>0</v>
      </c>
      <c r="AV196">
        <v>66.39</v>
      </c>
      <c r="AY196">
        <v>0</v>
      </c>
      <c r="AZ196">
        <v>0</v>
      </c>
      <c r="BA196">
        <v>93.33</v>
      </c>
      <c r="BB196">
        <v>75.37</v>
      </c>
      <c r="BC196">
        <v>28</v>
      </c>
      <c r="BD196">
        <v>67.83</v>
      </c>
      <c r="BE196">
        <f t="shared" ref="BE196:BE259" si="7">IF(AE196&gt;0,AE196,AD196)</f>
        <v>119.5</v>
      </c>
      <c r="BF196">
        <f t="shared" ref="BF196:BF259" si="8">G196+H196+I196+AF196+(BE196/3)</f>
        <v>77.833333333333343</v>
      </c>
      <c r="BG196" t="s">
        <v>758</v>
      </c>
    </row>
    <row r="197" spans="1:59" x14ac:dyDescent="0.3">
      <c r="A197" t="s">
        <v>224</v>
      </c>
      <c r="B197">
        <v>126395</v>
      </c>
      <c r="C197">
        <v>24314874</v>
      </c>
      <c r="D197" t="s">
        <v>225</v>
      </c>
      <c r="E197" t="s">
        <v>61</v>
      </c>
      <c r="F197" t="s">
        <v>77</v>
      </c>
      <c r="G197">
        <v>6</v>
      </c>
      <c r="H197">
        <v>10</v>
      </c>
      <c r="I197">
        <v>9.5</v>
      </c>
      <c r="J197" t="s">
        <v>63</v>
      </c>
      <c r="K197" t="s">
        <v>63</v>
      </c>
      <c r="L197" t="s">
        <v>63</v>
      </c>
      <c r="N197" t="s">
        <v>63</v>
      </c>
      <c r="O197" t="s">
        <v>63</v>
      </c>
      <c r="P197" t="s">
        <v>63</v>
      </c>
      <c r="Q197" t="s">
        <v>63</v>
      </c>
      <c r="S197" t="s">
        <v>63</v>
      </c>
      <c r="T197" t="s">
        <v>63</v>
      </c>
      <c r="U197" t="s">
        <v>63</v>
      </c>
      <c r="V197" t="s">
        <v>63</v>
      </c>
      <c r="X197" t="s">
        <v>63</v>
      </c>
      <c r="Y197" t="s">
        <v>63</v>
      </c>
      <c r="Z197" t="s">
        <v>63</v>
      </c>
      <c r="AA197" t="s">
        <v>63</v>
      </c>
      <c r="AC197" t="s">
        <v>63</v>
      </c>
      <c r="AD197" t="s">
        <v>63</v>
      </c>
      <c r="AE197">
        <v>127</v>
      </c>
      <c r="AF197">
        <v>10</v>
      </c>
      <c r="AG197">
        <v>85</v>
      </c>
      <c r="AH197">
        <v>85</v>
      </c>
      <c r="AI197">
        <v>85</v>
      </c>
      <c r="AJ197">
        <v>85</v>
      </c>
      <c r="AT197">
        <v>70.56</v>
      </c>
      <c r="AU197">
        <v>0</v>
      </c>
      <c r="AV197">
        <v>70.56</v>
      </c>
      <c r="AY197">
        <v>0</v>
      </c>
      <c r="AZ197">
        <v>0</v>
      </c>
      <c r="BA197">
        <v>85</v>
      </c>
      <c r="BB197">
        <v>75.37</v>
      </c>
      <c r="BC197">
        <v>25.5</v>
      </c>
      <c r="BD197">
        <v>67.83</v>
      </c>
      <c r="BE197">
        <f t="shared" si="7"/>
        <v>127</v>
      </c>
      <c r="BF197">
        <f t="shared" si="8"/>
        <v>77.833333333333343</v>
      </c>
      <c r="BG197" t="s">
        <v>758</v>
      </c>
    </row>
    <row r="198" spans="1:59" x14ac:dyDescent="0.3">
      <c r="A198" t="s">
        <v>376</v>
      </c>
      <c r="B198">
        <v>123195</v>
      </c>
      <c r="C198">
        <v>24276148</v>
      </c>
      <c r="D198" t="s">
        <v>377</v>
      </c>
      <c r="E198" t="s">
        <v>61</v>
      </c>
      <c r="F198" t="s">
        <v>77</v>
      </c>
      <c r="G198">
        <v>7.5</v>
      </c>
      <c r="H198">
        <v>10</v>
      </c>
      <c r="I198">
        <v>10</v>
      </c>
      <c r="J198" t="s">
        <v>63</v>
      </c>
      <c r="K198" t="s">
        <v>63</v>
      </c>
      <c r="L198" t="s">
        <v>63</v>
      </c>
      <c r="N198" t="s">
        <v>63</v>
      </c>
      <c r="O198" t="s">
        <v>63</v>
      </c>
      <c r="P198" t="s">
        <v>63</v>
      </c>
      <c r="Q198" t="s">
        <v>63</v>
      </c>
      <c r="S198" t="s">
        <v>63</v>
      </c>
      <c r="T198" t="s">
        <v>63</v>
      </c>
      <c r="U198" t="s">
        <v>63</v>
      </c>
      <c r="V198" t="s">
        <v>63</v>
      </c>
      <c r="X198" t="s">
        <v>63</v>
      </c>
      <c r="Y198" t="s">
        <v>63</v>
      </c>
      <c r="Z198" t="s">
        <v>63</v>
      </c>
      <c r="AA198" t="s">
        <v>63</v>
      </c>
      <c r="AC198" t="s">
        <v>63</v>
      </c>
      <c r="AD198" t="s">
        <v>63</v>
      </c>
      <c r="AE198">
        <v>121</v>
      </c>
      <c r="AF198">
        <v>10</v>
      </c>
      <c r="AG198">
        <v>91.67</v>
      </c>
      <c r="AH198">
        <v>91.67</v>
      </c>
      <c r="AI198">
        <v>91.67</v>
      </c>
      <c r="AJ198">
        <v>91.67</v>
      </c>
      <c r="AT198">
        <v>67.22</v>
      </c>
      <c r="AU198">
        <v>0</v>
      </c>
      <c r="AV198">
        <v>67.22</v>
      </c>
      <c r="AY198">
        <v>0</v>
      </c>
      <c r="AZ198">
        <v>0</v>
      </c>
      <c r="BA198">
        <v>91.67</v>
      </c>
      <c r="BB198">
        <v>75.37</v>
      </c>
      <c r="BC198">
        <v>27.5</v>
      </c>
      <c r="BD198">
        <v>67.83</v>
      </c>
      <c r="BE198">
        <f t="shared" si="7"/>
        <v>121</v>
      </c>
      <c r="BF198">
        <f t="shared" si="8"/>
        <v>77.833333333333343</v>
      </c>
      <c r="BG198" t="s">
        <v>758</v>
      </c>
    </row>
    <row r="199" spans="1:59" x14ac:dyDescent="0.3">
      <c r="A199" t="s">
        <v>436</v>
      </c>
      <c r="B199">
        <v>123603</v>
      </c>
      <c r="C199">
        <v>24278987</v>
      </c>
      <c r="D199" t="s">
        <v>437</v>
      </c>
      <c r="E199" t="s">
        <v>61</v>
      </c>
      <c r="F199" t="s">
        <v>69</v>
      </c>
      <c r="G199">
        <v>10</v>
      </c>
      <c r="H199">
        <v>10</v>
      </c>
      <c r="I199">
        <v>9.5</v>
      </c>
      <c r="J199" t="s">
        <v>63</v>
      </c>
      <c r="L199" t="s">
        <v>63</v>
      </c>
      <c r="M199" t="s">
        <v>63</v>
      </c>
      <c r="N199" t="s">
        <v>63</v>
      </c>
      <c r="O199" t="s">
        <v>63</v>
      </c>
      <c r="Q199" t="s">
        <v>63</v>
      </c>
      <c r="R199" t="s">
        <v>63</v>
      </c>
      <c r="S199" t="s">
        <v>63</v>
      </c>
      <c r="T199" t="s">
        <v>63</v>
      </c>
      <c r="V199" t="s">
        <v>63</v>
      </c>
      <c r="W199" t="s">
        <v>63</v>
      </c>
      <c r="X199" t="s">
        <v>63</v>
      </c>
      <c r="Y199" t="s">
        <v>63</v>
      </c>
      <c r="AA199" t="s">
        <v>63</v>
      </c>
      <c r="AB199" t="s">
        <v>63</v>
      </c>
      <c r="AC199" t="s">
        <v>63</v>
      </c>
      <c r="AD199" t="s">
        <v>63</v>
      </c>
      <c r="AE199">
        <v>115</v>
      </c>
      <c r="AF199">
        <v>10</v>
      </c>
      <c r="AG199">
        <v>98.33</v>
      </c>
      <c r="AH199">
        <v>98.33</v>
      </c>
      <c r="AI199">
        <v>98.33</v>
      </c>
      <c r="AJ199">
        <v>98.33</v>
      </c>
      <c r="AT199">
        <v>63.89</v>
      </c>
      <c r="AU199">
        <v>0</v>
      </c>
      <c r="AV199">
        <v>63.89</v>
      </c>
      <c r="AY199">
        <v>0</v>
      </c>
      <c r="AZ199">
        <v>0</v>
      </c>
      <c r="BA199">
        <v>98.33</v>
      </c>
      <c r="BB199">
        <v>75.37</v>
      </c>
      <c r="BC199">
        <v>29.5</v>
      </c>
      <c r="BD199">
        <v>67.83</v>
      </c>
      <c r="BE199">
        <f t="shared" si="7"/>
        <v>115</v>
      </c>
      <c r="BF199">
        <f t="shared" si="8"/>
        <v>77.833333333333343</v>
      </c>
      <c r="BG199" t="s">
        <v>758</v>
      </c>
    </row>
    <row r="200" spans="1:59" x14ac:dyDescent="0.3">
      <c r="A200" t="s">
        <v>486</v>
      </c>
      <c r="B200">
        <v>127481</v>
      </c>
      <c r="C200">
        <v>24331398</v>
      </c>
      <c r="D200" t="s">
        <v>487</v>
      </c>
      <c r="E200" t="s">
        <v>61</v>
      </c>
      <c r="F200" t="s">
        <v>66</v>
      </c>
      <c r="G200">
        <v>7.5</v>
      </c>
      <c r="H200">
        <v>10</v>
      </c>
      <c r="I200">
        <v>10</v>
      </c>
      <c r="K200" t="s">
        <v>63</v>
      </c>
      <c r="L200" t="s">
        <v>63</v>
      </c>
      <c r="M200" t="s">
        <v>63</v>
      </c>
      <c r="N200" t="s">
        <v>63</v>
      </c>
      <c r="P200" t="s">
        <v>63</v>
      </c>
      <c r="Q200" t="s">
        <v>63</v>
      </c>
      <c r="R200" t="s">
        <v>63</v>
      </c>
      <c r="S200" t="s">
        <v>63</v>
      </c>
      <c r="U200" t="s">
        <v>63</v>
      </c>
      <c r="V200" t="s">
        <v>63</v>
      </c>
      <c r="W200" t="s">
        <v>63</v>
      </c>
      <c r="X200" t="s">
        <v>63</v>
      </c>
      <c r="Z200" t="s">
        <v>63</v>
      </c>
      <c r="AA200" t="s">
        <v>63</v>
      </c>
      <c r="AB200" t="s">
        <v>63</v>
      </c>
      <c r="AC200" t="s">
        <v>63</v>
      </c>
      <c r="AD200" t="s">
        <v>63</v>
      </c>
      <c r="AE200">
        <v>121</v>
      </c>
      <c r="AF200">
        <v>10</v>
      </c>
      <c r="AG200">
        <v>91.67</v>
      </c>
      <c r="AH200">
        <v>91.67</v>
      </c>
      <c r="AI200">
        <v>91.67</v>
      </c>
      <c r="AJ200">
        <v>91.67</v>
      </c>
      <c r="AT200">
        <v>67.22</v>
      </c>
      <c r="AU200">
        <v>0</v>
      </c>
      <c r="AV200">
        <v>67.22</v>
      </c>
      <c r="AY200">
        <v>0</v>
      </c>
      <c r="AZ200">
        <v>0</v>
      </c>
      <c r="BA200">
        <v>91.67</v>
      </c>
      <c r="BB200">
        <v>75.37</v>
      </c>
      <c r="BC200">
        <v>27.5</v>
      </c>
      <c r="BD200">
        <v>67.83</v>
      </c>
      <c r="BE200">
        <f t="shared" si="7"/>
        <v>121</v>
      </c>
      <c r="BF200">
        <f t="shared" si="8"/>
        <v>77.833333333333343</v>
      </c>
      <c r="BG200" t="s">
        <v>758</v>
      </c>
    </row>
    <row r="201" spans="1:59" x14ac:dyDescent="0.3">
      <c r="A201" t="s">
        <v>116</v>
      </c>
      <c r="B201">
        <v>127935</v>
      </c>
      <c r="C201">
        <v>24337926</v>
      </c>
      <c r="D201" t="s">
        <v>117</v>
      </c>
      <c r="E201" t="s">
        <v>61</v>
      </c>
      <c r="F201" t="s">
        <v>69</v>
      </c>
      <c r="G201">
        <v>8</v>
      </c>
      <c r="H201">
        <v>10</v>
      </c>
      <c r="I201">
        <v>10</v>
      </c>
      <c r="J201" t="s">
        <v>63</v>
      </c>
      <c r="L201" t="s">
        <v>63</v>
      </c>
      <c r="M201" t="s">
        <v>63</v>
      </c>
      <c r="N201" t="s">
        <v>63</v>
      </c>
      <c r="O201" t="s">
        <v>63</v>
      </c>
      <c r="Q201" t="s">
        <v>63</v>
      </c>
      <c r="R201" t="s">
        <v>63</v>
      </c>
      <c r="S201" t="s">
        <v>63</v>
      </c>
      <c r="T201" t="s">
        <v>63</v>
      </c>
      <c r="V201" t="s">
        <v>63</v>
      </c>
      <c r="W201" t="s">
        <v>63</v>
      </c>
      <c r="X201" t="s">
        <v>63</v>
      </c>
      <c r="Y201" t="s">
        <v>63</v>
      </c>
      <c r="AA201" t="s">
        <v>63</v>
      </c>
      <c r="AB201" t="s">
        <v>63</v>
      </c>
      <c r="AC201" t="s">
        <v>63</v>
      </c>
      <c r="AD201" t="s">
        <v>63</v>
      </c>
      <c r="AE201">
        <v>119</v>
      </c>
      <c r="AF201">
        <v>10</v>
      </c>
      <c r="AG201">
        <v>93.33</v>
      </c>
      <c r="AH201">
        <v>93.33</v>
      </c>
      <c r="AI201">
        <v>93.33</v>
      </c>
      <c r="AJ201">
        <v>93.33</v>
      </c>
      <c r="AT201">
        <v>66.11</v>
      </c>
      <c r="AU201">
        <v>0</v>
      </c>
      <c r="AV201">
        <v>66.11</v>
      </c>
      <c r="AY201">
        <v>0</v>
      </c>
      <c r="AZ201">
        <v>0</v>
      </c>
      <c r="BA201">
        <v>93.33</v>
      </c>
      <c r="BB201">
        <v>75.19</v>
      </c>
      <c r="BC201">
        <v>28</v>
      </c>
      <c r="BD201">
        <v>67.67</v>
      </c>
      <c r="BE201">
        <f t="shared" si="7"/>
        <v>119</v>
      </c>
      <c r="BF201">
        <f t="shared" si="8"/>
        <v>77.666666666666657</v>
      </c>
      <c r="BG201" t="s">
        <v>758</v>
      </c>
    </row>
    <row r="202" spans="1:59" x14ac:dyDescent="0.3">
      <c r="A202" t="s">
        <v>140</v>
      </c>
      <c r="B202">
        <v>127318</v>
      </c>
      <c r="C202">
        <v>24330021</v>
      </c>
      <c r="D202" t="s">
        <v>141</v>
      </c>
      <c r="E202" t="s">
        <v>61</v>
      </c>
      <c r="F202" t="s">
        <v>77</v>
      </c>
      <c r="G202">
        <v>7.5</v>
      </c>
      <c r="H202">
        <v>10</v>
      </c>
      <c r="I202">
        <v>10</v>
      </c>
      <c r="J202" t="s">
        <v>63</v>
      </c>
      <c r="K202" t="s">
        <v>63</v>
      </c>
      <c r="L202" t="s">
        <v>63</v>
      </c>
      <c r="N202" t="s">
        <v>63</v>
      </c>
      <c r="O202" t="s">
        <v>63</v>
      </c>
      <c r="P202" t="s">
        <v>63</v>
      </c>
      <c r="Q202" t="s">
        <v>63</v>
      </c>
      <c r="S202" t="s">
        <v>63</v>
      </c>
      <c r="T202" t="s">
        <v>63</v>
      </c>
      <c r="U202" t="s">
        <v>63</v>
      </c>
      <c r="V202" t="s">
        <v>63</v>
      </c>
      <c r="X202" t="s">
        <v>63</v>
      </c>
      <c r="Y202" t="s">
        <v>63</v>
      </c>
      <c r="Z202" t="s">
        <v>63</v>
      </c>
      <c r="AA202" t="s">
        <v>63</v>
      </c>
      <c r="AC202" t="s">
        <v>63</v>
      </c>
      <c r="AD202" t="s">
        <v>63</v>
      </c>
      <c r="AE202">
        <v>120</v>
      </c>
      <c r="AF202">
        <v>10</v>
      </c>
      <c r="AG202">
        <v>91.67</v>
      </c>
      <c r="AH202">
        <v>91.67</v>
      </c>
      <c r="AI202">
        <v>91.67</v>
      </c>
      <c r="AJ202">
        <v>91.67</v>
      </c>
      <c r="AT202">
        <v>66.67</v>
      </c>
      <c r="AU202">
        <v>0</v>
      </c>
      <c r="AV202">
        <v>66.67</v>
      </c>
      <c r="AY202">
        <v>0</v>
      </c>
      <c r="AZ202">
        <v>0</v>
      </c>
      <c r="BA202">
        <v>91.67</v>
      </c>
      <c r="BB202">
        <v>75</v>
      </c>
      <c r="BC202">
        <v>27.5</v>
      </c>
      <c r="BD202">
        <v>67.5</v>
      </c>
      <c r="BE202">
        <f t="shared" si="7"/>
        <v>120</v>
      </c>
      <c r="BF202">
        <f t="shared" si="8"/>
        <v>77.5</v>
      </c>
      <c r="BG202" t="s">
        <v>758</v>
      </c>
    </row>
    <row r="203" spans="1:59" x14ac:dyDescent="0.3">
      <c r="A203" t="s">
        <v>230</v>
      </c>
      <c r="B203">
        <v>131510</v>
      </c>
      <c r="C203">
        <v>24363273</v>
      </c>
      <c r="D203" t="s">
        <v>231</v>
      </c>
      <c r="E203" t="s">
        <v>61</v>
      </c>
      <c r="F203" t="s">
        <v>62</v>
      </c>
      <c r="G203">
        <v>9.5</v>
      </c>
      <c r="H203">
        <v>9</v>
      </c>
      <c r="I203">
        <v>6.5</v>
      </c>
      <c r="J203" t="s">
        <v>63</v>
      </c>
      <c r="K203" t="s">
        <v>63</v>
      </c>
      <c r="L203" t="s">
        <v>63</v>
      </c>
      <c r="M203" t="s">
        <v>63</v>
      </c>
      <c r="O203" t="s">
        <v>63</v>
      </c>
      <c r="P203" t="s">
        <v>63</v>
      </c>
      <c r="Q203" t="s">
        <v>63</v>
      </c>
      <c r="R203" t="s">
        <v>63</v>
      </c>
      <c r="T203" t="s">
        <v>63</v>
      </c>
      <c r="U203" t="s">
        <v>63</v>
      </c>
      <c r="V203" t="s">
        <v>63</v>
      </c>
      <c r="W203" t="s">
        <v>63</v>
      </c>
      <c r="Y203" t="s">
        <v>63</v>
      </c>
      <c r="Z203" t="s">
        <v>63</v>
      </c>
      <c r="AA203" t="s">
        <v>63</v>
      </c>
      <c r="AB203" t="s">
        <v>63</v>
      </c>
      <c r="AD203" t="s">
        <v>63</v>
      </c>
      <c r="AE203">
        <v>127.5</v>
      </c>
      <c r="AF203">
        <v>10</v>
      </c>
      <c r="AG203">
        <v>83.33</v>
      </c>
      <c r="AH203">
        <v>83.33</v>
      </c>
      <c r="AI203">
        <v>83.33</v>
      </c>
      <c r="AJ203">
        <v>83.33</v>
      </c>
      <c r="AT203">
        <v>70.83</v>
      </c>
      <c r="AU203">
        <v>0</v>
      </c>
      <c r="AV203">
        <v>70.83</v>
      </c>
      <c r="AY203">
        <v>0</v>
      </c>
      <c r="AZ203">
        <v>0</v>
      </c>
      <c r="BA203">
        <v>83.33</v>
      </c>
      <c r="BB203">
        <v>75</v>
      </c>
      <c r="BC203">
        <v>25</v>
      </c>
      <c r="BD203">
        <v>67.5</v>
      </c>
      <c r="BE203">
        <f t="shared" si="7"/>
        <v>127.5</v>
      </c>
      <c r="BF203">
        <f t="shared" si="8"/>
        <v>77.5</v>
      </c>
      <c r="BG203" t="s">
        <v>758</v>
      </c>
    </row>
    <row r="204" spans="1:59" x14ac:dyDescent="0.3">
      <c r="A204" t="s">
        <v>676</v>
      </c>
      <c r="B204">
        <v>132997</v>
      </c>
      <c r="C204">
        <v>24374850</v>
      </c>
      <c r="D204" t="s">
        <v>677</v>
      </c>
      <c r="E204" t="s">
        <v>61</v>
      </c>
      <c r="F204" t="s">
        <v>77</v>
      </c>
      <c r="G204">
        <v>8</v>
      </c>
      <c r="H204">
        <v>10</v>
      </c>
      <c r="I204">
        <v>10</v>
      </c>
      <c r="J204" t="s">
        <v>63</v>
      </c>
      <c r="K204" t="s">
        <v>63</v>
      </c>
      <c r="L204" t="s">
        <v>63</v>
      </c>
      <c r="N204" t="s">
        <v>63</v>
      </c>
      <c r="O204" t="s">
        <v>63</v>
      </c>
      <c r="P204" t="s">
        <v>63</v>
      </c>
      <c r="Q204" t="s">
        <v>63</v>
      </c>
      <c r="S204" t="s">
        <v>63</v>
      </c>
      <c r="T204" t="s">
        <v>63</v>
      </c>
      <c r="U204" t="s">
        <v>63</v>
      </c>
      <c r="V204" t="s">
        <v>63</v>
      </c>
      <c r="X204" t="s">
        <v>63</v>
      </c>
      <c r="Y204" t="s">
        <v>63</v>
      </c>
      <c r="Z204" t="s">
        <v>63</v>
      </c>
      <c r="AA204" t="s">
        <v>63</v>
      </c>
      <c r="AC204" t="s">
        <v>63</v>
      </c>
      <c r="AD204" t="s">
        <v>63</v>
      </c>
      <c r="AE204">
        <v>118.5</v>
      </c>
      <c r="AF204">
        <v>10</v>
      </c>
      <c r="AG204">
        <v>93.33</v>
      </c>
      <c r="AH204">
        <v>93.33</v>
      </c>
      <c r="AI204">
        <v>93.33</v>
      </c>
      <c r="AJ204">
        <v>93.33</v>
      </c>
      <c r="AT204">
        <v>65.83</v>
      </c>
      <c r="AU204">
        <v>0</v>
      </c>
      <c r="AV204">
        <v>65.83</v>
      </c>
      <c r="AY204">
        <v>0</v>
      </c>
      <c r="AZ204">
        <v>0</v>
      </c>
      <c r="BA204">
        <v>93.33</v>
      </c>
      <c r="BB204">
        <v>75</v>
      </c>
      <c r="BC204">
        <v>28</v>
      </c>
      <c r="BD204">
        <v>67.5</v>
      </c>
      <c r="BE204">
        <f t="shared" si="7"/>
        <v>118.5</v>
      </c>
      <c r="BF204">
        <f t="shared" si="8"/>
        <v>77.5</v>
      </c>
      <c r="BG204" t="s">
        <v>758</v>
      </c>
    </row>
    <row r="205" spans="1:59" x14ac:dyDescent="0.3">
      <c r="A205" t="s">
        <v>350</v>
      </c>
      <c r="B205">
        <v>129988</v>
      </c>
      <c r="C205">
        <v>24360349</v>
      </c>
      <c r="D205" t="s">
        <v>351</v>
      </c>
      <c r="E205" t="s">
        <v>61</v>
      </c>
      <c r="F205" t="s">
        <v>69</v>
      </c>
      <c r="G205">
        <v>6</v>
      </c>
      <c r="H205">
        <v>10</v>
      </c>
      <c r="I205">
        <v>8.75</v>
      </c>
      <c r="J205" t="s">
        <v>63</v>
      </c>
      <c r="L205" t="s">
        <v>63</v>
      </c>
      <c r="M205" t="s">
        <v>63</v>
      </c>
      <c r="N205" t="s">
        <v>63</v>
      </c>
      <c r="O205" t="s">
        <v>63</v>
      </c>
      <c r="Q205" t="s">
        <v>63</v>
      </c>
      <c r="R205" t="s">
        <v>63</v>
      </c>
      <c r="S205" t="s">
        <v>63</v>
      </c>
      <c r="T205" t="s">
        <v>63</v>
      </c>
      <c r="V205" t="s">
        <v>63</v>
      </c>
      <c r="W205" t="s">
        <v>63</v>
      </c>
      <c r="X205" t="s">
        <v>63</v>
      </c>
      <c r="Y205" t="s">
        <v>63</v>
      </c>
      <c r="AA205" t="s">
        <v>63</v>
      </c>
      <c r="AB205" t="s">
        <v>63</v>
      </c>
      <c r="AC205" t="s">
        <v>63</v>
      </c>
      <c r="AD205" t="s">
        <v>63</v>
      </c>
      <c r="AE205">
        <v>128</v>
      </c>
      <c r="AF205">
        <v>10</v>
      </c>
      <c r="AG205">
        <v>82.5</v>
      </c>
      <c r="AH205">
        <v>82.5</v>
      </c>
      <c r="AI205">
        <v>82.5</v>
      </c>
      <c r="AJ205">
        <v>82.5</v>
      </c>
      <c r="AT205">
        <v>71.11</v>
      </c>
      <c r="AU205">
        <v>0</v>
      </c>
      <c r="AV205">
        <v>71.11</v>
      </c>
      <c r="AY205">
        <v>0</v>
      </c>
      <c r="AZ205">
        <v>0</v>
      </c>
      <c r="BA205">
        <v>82.5</v>
      </c>
      <c r="BB205">
        <v>74.91</v>
      </c>
      <c r="BC205">
        <v>24.75</v>
      </c>
      <c r="BD205">
        <v>67.42</v>
      </c>
      <c r="BE205">
        <f t="shared" si="7"/>
        <v>128</v>
      </c>
      <c r="BF205">
        <f t="shared" si="8"/>
        <v>77.416666666666657</v>
      </c>
      <c r="BG205" t="s">
        <v>758</v>
      </c>
    </row>
    <row r="206" spans="1:59" x14ac:dyDescent="0.3">
      <c r="A206" t="s">
        <v>358</v>
      </c>
      <c r="B206">
        <v>123372</v>
      </c>
      <c r="C206">
        <v>24275757</v>
      </c>
      <c r="D206" t="s">
        <v>359</v>
      </c>
      <c r="E206" t="s">
        <v>61</v>
      </c>
      <c r="F206" t="s">
        <v>66</v>
      </c>
      <c r="G206">
        <v>10</v>
      </c>
      <c r="H206">
        <v>10</v>
      </c>
      <c r="I206">
        <v>9.5</v>
      </c>
      <c r="K206" t="s">
        <v>63</v>
      </c>
      <c r="L206" t="s">
        <v>63</v>
      </c>
      <c r="M206" t="s">
        <v>63</v>
      </c>
      <c r="N206" t="s">
        <v>63</v>
      </c>
      <c r="P206" t="s">
        <v>63</v>
      </c>
      <c r="Q206" t="s">
        <v>63</v>
      </c>
      <c r="R206" t="s">
        <v>63</v>
      </c>
      <c r="S206" t="s">
        <v>63</v>
      </c>
      <c r="U206" t="s">
        <v>63</v>
      </c>
      <c r="V206" t="s">
        <v>63</v>
      </c>
      <c r="W206" t="s">
        <v>63</v>
      </c>
      <c r="X206" t="s">
        <v>63</v>
      </c>
      <c r="Z206" t="s">
        <v>63</v>
      </c>
      <c r="AA206" t="s">
        <v>63</v>
      </c>
      <c r="AB206" t="s">
        <v>63</v>
      </c>
      <c r="AC206" t="s">
        <v>63</v>
      </c>
      <c r="AD206" t="s">
        <v>63</v>
      </c>
      <c r="AE206">
        <v>113.5</v>
      </c>
      <c r="AF206">
        <v>10</v>
      </c>
      <c r="AG206">
        <v>98.33</v>
      </c>
      <c r="AH206">
        <v>98.33</v>
      </c>
      <c r="AI206">
        <v>98.33</v>
      </c>
      <c r="AJ206">
        <v>98.33</v>
      </c>
      <c r="AT206">
        <v>63.06</v>
      </c>
      <c r="AU206">
        <v>0</v>
      </c>
      <c r="AV206">
        <v>63.06</v>
      </c>
      <c r="AY206">
        <v>0</v>
      </c>
      <c r="AZ206">
        <v>0</v>
      </c>
      <c r="BA206">
        <v>98.33</v>
      </c>
      <c r="BB206">
        <v>74.81</v>
      </c>
      <c r="BC206">
        <v>29.5</v>
      </c>
      <c r="BD206">
        <v>67.33</v>
      </c>
      <c r="BE206">
        <f t="shared" si="7"/>
        <v>113.5</v>
      </c>
      <c r="BF206">
        <f t="shared" si="8"/>
        <v>77.333333333333343</v>
      </c>
      <c r="BG206" t="s">
        <v>758</v>
      </c>
    </row>
    <row r="207" spans="1:59" x14ac:dyDescent="0.3">
      <c r="A207" t="s">
        <v>590</v>
      </c>
      <c r="B207">
        <v>127491</v>
      </c>
      <c r="C207">
        <v>24331330</v>
      </c>
      <c r="D207" t="s">
        <v>591</v>
      </c>
      <c r="E207" t="s">
        <v>61</v>
      </c>
      <c r="F207" t="s">
        <v>62</v>
      </c>
      <c r="G207">
        <v>10</v>
      </c>
      <c r="H207">
        <v>10</v>
      </c>
      <c r="I207">
        <v>10</v>
      </c>
      <c r="J207" t="s">
        <v>63</v>
      </c>
      <c r="K207" t="s">
        <v>63</v>
      </c>
      <c r="L207" t="s">
        <v>63</v>
      </c>
      <c r="M207" t="s">
        <v>63</v>
      </c>
      <c r="O207" t="s">
        <v>63</v>
      </c>
      <c r="P207" t="s">
        <v>63</v>
      </c>
      <c r="Q207" t="s">
        <v>63</v>
      </c>
      <c r="R207" t="s">
        <v>63</v>
      </c>
      <c r="T207" t="s">
        <v>63</v>
      </c>
      <c r="U207" t="s">
        <v>63</v>
      </c>
      <c r="V207" t="s">
        <v>63</v>
      </c>
      <c r="W207" t="s">
        <v>63</v>
      </c>
      <c r="Y207" t="s">
        <v>63</v>
      </c>
      <c r="Z207" t="s">
        <v>63</v>
      </c>
      <c r="AA207" t="s">
        <v>63</v>
      </c>
      <c r="AB207" t="s">
        <v>63</v>
      </c>
      <c r="AD207" t="s">
        <v>63</v>
      </c>
      <c r="AE207">
        <v>112</v>
      </c>
      <c r="AF207">
        <v>10</v>
      </c>
      <c r="AG207">
        <v>100</v>
      </c>
      <c r="AH207">
        <v>100</v>
      </c>
      <c r="AI207">
        <v>100</v>
      </c>
      <c r="AJ207">
        <v>100</v>
      </c>
      <c r="AT207">
        <v>62.22</v>
      </c>
      <c r="AU207">
        <v>0</v>
      </c>
      <c r="AV207">
        <v>62.22</v>
      </c>
      <c r="AY207">
        <v>0</v>
      </c>
      <c r="AZ207">
        <v>0</v>
      </c>
      <c r="BA207">
        <v>100</v>
      </c>
      <c r="BB207">
        <v>74.81</v>
      </c>
      <c r="BC207">
        <v>30</v>
      </c>
      <c r="BD207">
        <v>67.33</v>
      </c>
      <c r="BE207">
        <f t="shared" si="7"/>
        <v>112</v>
      </c>
      <c r="BF207">
        <f t="shared" si="8"/>
        <v>77.333333333333343</v>
      </c>
      <c r="BG207" t="s">
        <v>758</v>
      </c>
    </row>
    <row r="208" spans="1:59" x14ac:dyDescent="0.3">
      <c r="A208" t="s">
        <v>172</v>
      </c>
      <c r="B208">
        <v>103464</v>
      </c>
      <c r="C208">
        <v>24036822</v>
      </c>
      <c r="D208" t="s">
        <v>173</v>
      </c>
      <c r="E208" t="s">
        <v>61</v>
      </c>
      <c r="F208" t="s">
        <v>66</v>
      </c>
      <c r="G208">
        <v>8.25</v>
      </c>
      <c r="H208">
        <v>10</v>
      </c>
      <c r="I208">
        <v>9.5</v>
      </c>
      <c r="K208" t="s">
        <v>63</v>
      </c>
      <c r="L208" t="s">
        <v>63</v>
      </c>
      <c r="M208" t="s">
        <v>63</v>
      </c>
      <c r="N208" t="s">
        <v>63</v>
      </c>
      <c r="P208" t="s">
        <v>63</v>
      </c>
      <c r="Q208" t="s">
        <v>63</v>
      </c>
      <c r="R208" t="s">
        <v>63</v>
      </c>
      <c r="S208" t="s">
        <v>63</v>
      </c>
      <c r="U208" t="s">
        <v>63</v>
      </c>
      <c r="V208" t="s">
        <v>63</v>
      </c>
      <c r="W208" t="s">
        <v>63</v>
      </c>
      <c r="X208" t="s">
        <v>63</v>
      </c>
      <c r="Z208" t="s">
        <v>63</v>
      </c>
      <c r="AA208" t="s">
        <v>63</v>
      </c>
      <c r="AB208" t="s">
        <v>63</v>
      </c>
      <c r="AC208" t="s">
        <v>63</v>
      </c>
      <c r="AD208" t="s">
        <v>63</v>
      </c>
      <c r="AE208">
        <v>118.5</v>
      </c>
      <c r="AF208">
        <v>10</v>
      </c>
      <c r="AG208">
        <v>92.5</v>
      </c>
      <c r="AH208">
        <v>92.5</v>
      </c>
      <c r="AI208">
        <v>92.5</v>
      </c>
      <c r="AJ208">
        <v>92.5</v>
      </c>
      <c r="AT208">
        <v>65.83</v>
      </c>
      <c r="AU208">
        <v>0</v>
      </c>
      <c r="AV208">
        <v>65.83</v>
      </c>
      <c r="AY208">
        <v>0</v>
      </c>
      <c r="AZ208">
        <v>0</v>
      </c>
      <c r="BA208">
        <v>92.5</v>
      </c>
      <c r="BB208">
        <v>74.72</v>
      </c>
      <c r="BC208">
        <v>27.75</v>
      </c>
      <c r="BD208">
        <v>67.25</v>
      </c>
      <c r="BE208">
        <f t="shared" si="7"/>
        <v>118.5</v>
      </c>
      <c r="BF208">
        <f t="shared" si="8"/>
        <v>77.25</v>
      </c>
      <c r="BG208" t="s">
        <v>758</v>
      </c>
    </row>
    <row r="209" spans="1:59" x14ac:dyDescent="0.3">
      <c r="A209" t="s">
        <v>378</v>
      </c>
      <c r="B209">
        <v>127264</v>
      </c>
      <c r="C209">
        <v>24328304</v>
      </c>
      <c r="D209" t="s">
        <v>379</v>
      </c>
      <c r="E209" t="s">
        <v>61</v>
      </c>
      <c r="F209" t="s">
        <v>69</v>
      </c>
      <c r="G209">
        <v>7.5</v>
      </c>
      <c r="H209">
        <v>6.25</v>
      </c>
      <c r="I209">
        <v>9.5</v>
      </c>
      <c r="J209" t="s">
        <v>63</v>
      </c>
      <c r="L209" t="s">
        <v>63</v>
      </c>
      <c r="M209" t="s">
        <v>63</v>
      </c>
      <c r="N209" t="s">
        <v>63</v>
      </c>
      <c r="O209" t="s">
        <v>63</v>
      </c>
      <c r="Q209" t="s">
        <v>63</v>
      </c>
      <c r="R209" t="s">
        <v>63</v>
      </c>
      <c r="S209" t="s">
        <v>63</v>
      </c>
      <c r="T209" t="s">
        <v>63</v>
      </c>
      <c r="V209" t="s">
        <v>63</v>
      </c>
      <c r="W209" t="s">
        <v>63</v>
      </c>
      <c r="X209" t="s">
        <v>63</v>
      </c>
      <c r="Y209" t="s">
        <v>63</v>
      </c>
      <c r="AA209" t="s">
        <v>63</v>
      </c>
      <c r="AB209" t="s">
        <v>63</v>
      </c>
      <c r="AC209" t="s">
        <v>63</v>
      </c>
      <c r="AD209" t="s">
        <v>63</v>
      </c>
      <c r="AE209">
        <v>132</v>
      </c>
      <c r="AF209">
        <v>10</v>
      </c>
      <c r="AG209">
        <v>77.5</v>
      </c>
      <c r="AH209">
        <v>77.5</v>
      </c>
      <c r="AI209">
        <v>77.5</v>
      </c>
      <c r="AJ209">
        <v>77.5</v>
      </c>
      <c r="AT209">
        <v>73.33</v>
      </c>
      <c r="AU209">
        <v>0</v>
      </c>
      <c r="AV209">
        <v>73.33</v>
      </c>
      <c r="AY209">
        <v>0</v>
      </c>
      <c r="AZ209">
        <v>0</v>
      </c>
      <c r="BA209">
        <v>77.5</v>
      </c>
      <c r="BB209">
        <v>74.72</v>
      </c>
      <c r="BC209">
        <v>23.25</v>
      </c>
      <c r="BD209">
        <v>67.25</v>
      </c>
      <c r="BE209">
        <f t="shared" si="7"/>
        <v>132</v>
      </c>
      <c r="BF209">
        <f t="shared" si="8"/>
        <v>77.25</v>
      </c>
      <c r="BG209" t="s">
        <v>758</v>
      </c>
    </row>
    <row r="210" spans="1:59" x14ac:dyDescent="0.3">
      <c r="A210" t="s">
        <v>336</v>
      </c>
      <c r="B210">
        <v>128980</v>
      </c>
      <c r="C210">
        <v>24352529</v>
      </c>
      <c r="D210" t="s">
        <v>337</v>
      </c>
      <c r="E210" t="s">
        <v>61</v>
      </c>
      <c r="F210" t="s">
        <v>62</v>
      </c>
      <c r="G210">
        <v>6.25</v>
      </c>
      <c r="H210">
        <v>10</v>
      </c>
      <c r="I210">
        <v>10</v>
      </c>
      <c r="J210" t="s">
        <v>63</v>
      </c>
      <c r="K210" t="s">
        <v>63</v>
      </c>
      <c r="L210" t="s">
        <v>63</v>
      </c>
      <c r="M210" t="s">
        <v>63</v>
      </c>
      <c r="O210" t="s">
        <v>63</v>
      </c>
      <c r="P210" t="s">
        <v>63</v>
      </c>
      <c r="Q210" t="s">
        <v>63</v>
      </c>
      <c r="R210" t="s">
        <v>63</v>
      </c>
      <c r="T210" t="s">
        <v>63</v>
      </c>
      <c r="U210" t="s">
        <v>63</v>
      </c>
      <c r="V210" t="s">
        <v>63</v>
      </c>
      <c r="W210" t="s">
        <v>63</v>
      </c>
      <c r="Y210" t="s">
        <v>63</v>
      </c>
      <c r="Z210" t="s">
        <v>63</v>
      </c>
      <c r="AA210" t="s">
        <v>63</v>
      </c>
      <c r="AB210" t="s">
        <v>63</v>
      </c>
      <c r="AD210" t="s">
        <v>63</v>
      </c>
      <c r="AE210">
        <v>122.5</v>
      </c>
      <c r="AF210">
        <v>10</v>
      </c>
      <c r="AG210">
        <v>87.5</v>
      </c>
      <c r="AH210">
        <v>87.5</v>
      </c>
      <c r="AI210">
        <v>87.5</v>
      </c>
      <c r="AJ210">
        <v>87.5</v>
      </c>
      <c r="AT210">
        <v>68.06</v>
      </c>
      <c r="AU210">
        <v>0</v>
      </c>
      <c r="AV210">
        <v>68.06</v>
      </c>
      <c r="AY210">
        <v>0</v>
      </c>
      <c r="AZ210">
        <v>0</v>
      </c>
      <c r="BA210">
        <v>87.5</v>
      </c>
      <c r="BB210">
        <v>74.540000000000006</v>
      </c>
      <c r="BC210">
        <v>26.25</v>
      </c>
      <c r="BD210">
        <v>67.08</v>
      </c>
      <c r="BE210">
        <f t="shared" si="7"/>
        <v>122.5</v>
      </c>
      <c r="BF210">
        <f t="shared" si="8"/>
        <v>77.083333333333343</v>
      </c>
      <c r="BG210" t="s">
        <v>758</v>
      </c>
    </row>
    <row r="211" spans="1:59" x14ac:dyDescent="0.3">
      <c r="A211" t="s">
        <v>532</v>
      </c>
      <c r="B211">
        <v>129542</v>
      </c>
      <c r="C211">
        <v>24358054</v>
      </c>
      <c r="D211" t="s">
        <v>533</v>
      </c>
      <c r="E211" t="s">
        <v>61</v>
      </c>
      <c r="F211" t="s">
        <v>62</v>
      </c>
      <c r="G211">
        <v>7.5</v>
      </c>
      <c r="H211">
        <v>10</v>
      </c>
      <c r="I211">
        <v>5</v>
      </c>
      <c r="J211" t="s">
        <v>63</v>
      </c>
      <c r="K211" t="s">
        <v>63</v>
      </c>
      <c r="L211" t="s">
        <v>63</v>
      </c>
      <c r="M211" t="s">
        <v>63</v>
      </c>
      <c r="O211" t="s">
        <v>63</v>
      </c>
      <c r="P211" t="s">
        <v>63</v>
      </c>
      <c r="Q211" t="s">
        <v>63</v>
      </c>
      <c r="R211" t="s">
        <v>63</v>
      </c>
      <c r="T211" t="s">
        <v>63</v>
      </c>
      <c r="U211" t="s">
        <v>63</v>
      </c>
      <c r="V211" t="s">
        <v>63</v>
      </c>
      <c r="W211" t="s">
        <v>63</v>
      </c>
      <c r="Y211" t="s">
        <v>63</v>
      </c>
      <c r="Z211" t="s">
        <v>63</v>
      </c>
      <c r="AA211" t="s">
        <v>63</v>
      </c>
      <c r="AB211" t="s">
        <v>63</v>
      </c>
      <c r="AD211" t="s">
        <v>63</v>
      </c>
      <c r="AE211">
        <v>133.5</v>
      </c>
      <c r="AF211">
        <v>10</v>
      </c>
      <c r="AG211">
        <v>75</v>
      </c>
      <c r="AH211">
        <v>75</v>
      </c>
      <c r="AI211">
        <v>75</v>
      </c>
      <c r="AJ211">
        <v>75</v>
      </c>
      <c r="AT211">
        <v>74.17</v>
      </c>
      <c r="AU211">
        <v>0</v>
      </c>
      <c r="AV211">
        <v>74.17</v>
      </c>
      <c r="AY211">
        <v>0</v>
      </c>
      <c r="AZ211">
        <v>0</v>
      </c>
      <c r="BA211">
        <v>75</v>
      </c>
      <c r="BB211">
        <v>74.44</v>
      </c>
      <c r="BC211">
        <v>22.5</v>
      </c>
      <c r="BD211">
        <v>67</v>
      </c>
      <c r="BE211">
        <f t="shared" si="7"/>
        <v>133.5</v>
      </c>
      <c r="BF211">
        <f t="shared" si="8"/>
        <v>77</v>
      </c>
      <c r="BG211" t="s">
        <v>758</v>
      </c>
    </row>
    <row r="212" spans="1:59" x14ac:dyDescent="0.3">
      <c r="A212" t="s">
        <v>602</v>
      </c>
      <c r="B212">
        <v>123278</v>
      </c>
      <c r="C212">
        <v>24275587</v>
      </c>
      <c r="D212" t="s">
        <v>603</v>
      </c>
      <c r="E212" t="s">
        <v>61</v>
      </c>
      <c r="F212" t="s">
        <v>77</v>
      </c>
      <c r="G212">
        <v>8</v>
      </c>
      <c r="H212">
        <v>10</v>
      </c>
      <c r="I212">
        <v>9</v>
      </c>
      <c r="J212" t="s">
        <v>63</v>
      </c>
      <c r="K212" t="s">
        <v>63</v>
      </c>
      <c r="L212" t="s">
        <v>63</v>
      </c>
      <c r="N212" t="s">
        <v>63</v>
      </c>
      <c r="O212" t="s">
        <v>63</v>
      </c>
      <c r="P212" t="s">
        <v>63</v>
      </c>
      <c r="Q212" t="s">
        <v>63</v>
      </c>
      <c r="S212" t="s">
        <v>63</v>
      </c>
      <c r="T212" t="s">
        <v>63</v>
      </c>
      <c r="U212" t="s">
        <v>63</v>
      </c>
      <c r="V212" t="s">
        <v>63</v>
      </c>
      <c r="X212" t="s">
        <v>63</v>
      </c>
      <c r="Y212" t="s">
        <v>63</v>
      </c>
      <c r="Z212" t="s">
        <v>63</v>
      </c>
      <c r="AA212" t="s">
        <v>63</v>
      </c>
      <c r="AC212" t="s">
        <v>63</v>
      </c>
      <c r="AD212" t="s">
        <v>63</v>
      </c>
      <c r="AE212">
        <v>122.5</v>
      </c>
      <c r="AF212">
        <v>10</v>
      </c>
      <c r="AG212">
        <v>90</v>
      </c>
      <c r="AH212">
        <v>90</v>
      </c>
      <c r="AI212">
        <v>90</v>
      </c>
      <c r="AJ212">
        <v>90</v>
      </c>
      <c r="AT212">
        <v>66.67</v>
      </c>
      <c r="AU212">
        <v>0</v>
      </c>
      <c r="AV212">
        <v>66.67</v>
      </c>
      <c r="AY212">
        <v>0</v>
      </c>
      <c r="AZ212">
        <v>0</v>
      </c>
      <c r="BA212">
        <v>90</v>
      </c>
      <c r="BB212">
        <v>74.44</v>
      </c>
      <c r="BC212">
        <v>27</v>
      </c>
      <c r="BD212">
        <v>67</v>
      </c>
      <c r="BE212">
        <f t="shared" si="7"/>
        <v>122.5</v>
      </c>
      <c r="BF212">
        <f t="shared" si="8"/>
        <v>77.833333333333343</v>
      </c>
      <c r="BG212" t="s">
        <v>758</v>
      </c>
    </row>
    <row r="213" spans="1:59" x14ac:dyDescent="0.3">
      <c r="A213" t="s">
        <v>638</v>
      </c>
      <c r="B213">
        <v>123175</v>
      </c>
      <c r="C213">
        <v>24276233</v>
      </c>
      <c r="D213" t="s">
        <v>639</v>
      </c>
      <c r="E213" t="s">
        <v>61</v>
      </c>
      <c r="F213" t="s">
        <v>69</v>
      </c>
      <c r="G213">
        <v>8.5</v>
      </c>
      <c r="H213">
        <v>8</v>
      </c>
      <c r="I213">
        <v>10</v>
      </c>
      <c r="J213" t="s">
        <v>63</v>
      </c>
      <c r="L213" t="s">
        <v>63</v>
      </c>
      <c r="M213" t="s">
        <v>63</v>
      </c>
      <c r="N213" t="s">
        <v>63</v>
      </c>
      <c r="O213" t="s">
        <v>63</v>
      </c>
      <c r="Q213" t="s">
        <v>63</v>
      </c>
      <c r="R213" t="s">
        <v>63</v>
      </c>
      <c r="S213" t="s">
        <v>63</v>
      </c>
      <c r="T213" t="s">
        <v>63</v>
      </c>
      <c r="V213" t="s">
        <v>63</v>
      </c>
      <c r="W213" t="s">
        <v>63</v>
      </c>
      <c r="X213" t="s">
        <v>63</v>
      </c>
      <c r="Y213" t="s">
        <v>63</v>
      </c>
      <c r="AA213" t="s">
        <v>63</v>
      </c>
      <c r="AB213" t="s">
        <v>63</v>
      </c>
      <c r="AC213" t="s">
        <v>63</v>
      </c>
      <c r="AD213" t="s">
        <v>63</v>
      </c>
      <c r="AE213">
        <v>121.5</v>
      </c>
      <c r="AF213">
        <v>10</v>
      </c>
      <c r="AG213">
        <v>88.33</v>
      </c>
      <c r="AH213">
        <v>88.33</v>
      </c>
      <c r="AI213">
        <v>88.33</v>
      </c>
      <c r="AJ213">
        <v>88.33</v>
      </c>
      <c r="AT213">
        <v>67.5</v>
      </c>
      <c r="AU213">
        <v>0</v>
      </c>
      <c r="AV213">
        <v>67.5</v>
      </c>
      <c r="AY213">
        <v>0</v>
      </c>
      <c r="AZ213">
        <v>0</v>
      </c>
      <c r="BA213">
        <v>88.33</v>
      </c>
      <c r="BB213">
        <v>74.44</v>
      </c>
      <c r="BC213">
        <v>26.5</v>
      </c>
      <c r="BD213">
        <v>67</v>
      </c>
      <c r="BE213">
        <f t="shared" si="7"/>
        <v>121.5</v>
      </c>
      <c r="BF213">
        <f t="shared" si="8"/>
        <v>77</v>
      </c>
      <c r="BG213" t="s">
        <v>758</v>
      </c>
    </row>
    <row r="214" spans="1:59" x14ac:dyDescent="0.3">
      <c r="A214" t="s">
        <v>674</v>
      </c>
      <c r="B214">
        <v>131362</v>
      </c>
      <c r="C214">
        <v>24361777</v>
      </c>
      <c r="D214" t="s">
        <v>675</v>
      </c>
      <c r="E214" t="s">
        <v>61</v>
      </c>
      <c r="F214" t="s">
        <v>77</v>
      </c>
      <c r="G214">
        <v>7</v>
      </c>
      <c r="H214">
        <v>9.5</v>
      </c>
      <c r="I214">
        <v>10</v>
      </c>
      <c r="J214" t="s">
        <v>63</v>
      </c>
      <c r="K214" t="s">
        <v>63</v>
      </c>
      <c r="L214" t="s">
        <v>63</v>
      </c>
      <c r="N214" t="s">
        <v>63</v>
      </c>
      <c r="O214" t="s">
        <v>63</v>
      </c>
      <c r="P214" t="s">
        <v>63</v>
      </c>
      <c r="Q214" t="s">
        <v>63</v>
      </c>
      <c r="S214" t="s">
        <v>63</v>
      </c>
      <c r="T214" t="s">
        <v>63</v>
      </c>
      <c r="U214" t="s">
        <v>63</v>
      </c>
      <c r="V214" t="s">
        <v>63</v>
      </c>
      <c r="X214" t="s">
        <v>63</v>
      </c>
      <c r="Y214" t="s">
        <v>63</v>
      </c>
      <c r="Z214" t="s">
        <v>63</v>
      </c>
      <c r="AA214" t="s">
        <v>63</v>
      </c>
      <c r="AC214" t="s">
        <v>63</v>
      </c>
      <c r="AD214" t="s">
        <v>63</v>
      </c>
      <c r="AE214">
        <v>121.5</v>
      </c>
      <c r="AF214">
        <v>10</v>
      </c>
      <c r="AG214">
        <v>88.33</v>
      </c>
      <c r="AH214">
        <v>88.33</v>
      </c>
      <c r="AI214">
        <v>88.33</v>
      </c>
      <c r="AJ214">
        <v>88.33</v>
      </c>
      <c r="AT214">
        <v>67.5</v>
      </c>
      <c r="AU214">
        <v>0</v>
      </c>
      <c r="AV214">
        <v>67.5</v>
      </c>
      <c r="AY214">
        <v>0</v>
      </c>
      <c r="AZ214">
        <v>0</v>
      </c>
      <c r="BA214">
        <v>88.33</v>
      </c>
      <c r="BB214">
        <v>74.44</v>
      </c>
      <c r="BC214">
        <v>26.5</v>
      </c>
      <c r="BD214">
        <v>67</v>
      </c>
      <c r="BE214">
        <f t="shared" si="7"/>
        <v>121.5</v>
      </c>
      <c r="BF214">
        <f t="shared" si="8"/>
        <v>77</v>
      </c>
      <c r="BG214" t="s">
        <v>758</v>
      </c>
    </row>
    <row r="215" spans="1:59" x14ac:dyDescent="0.3">
      <c r="A215" t="s">
        <v>260</v>
      </c>
      <c r="B215">
        <v>132927</v>
      </c>
      <c r="C215">
        <v>24377332</v>
      </c>
      <c r="D215" t="s">
        <v>261</v>
      </c>
      <c r="E215" t="s">
        <v>61</v>
      </c>
      <c r="F215" t="s">
        <v>66</v>
      </c>
      <c r="G215">
        <v>8</v>
      </c>
      <c r="H215">
        <v>10</v>
      </c>
      <c r="I215">
        <v>10</v>
      </c>
      <c r="K215" t="s">
        <v>63</v>
      </c>
      <c r="L215" t="s">
        <v>63</v>
      </c>
      <c r="M215" t="s">
        <v>63</v>
      </c>
      <c r="N215" t="s">
        <v>63</v>
      </c>
      <c r="P215" t="s">
        <v>63</v>
      </c>
      <c r="Q215" t="s">
        <v>63</v>
      </c>
      <c r="R215" t="s">
        <v>63</v>
      </c>
      <c r="S215" t="s">
        <v>63</v>
      </c>
      <c r="U215" t="s">
        <v>63</v>
      </c>
      <c r="V215" t="s">
        <v>63</v>
      </c>
      <c r="W215" t="s">
        <v>63</v>
      </c>
      <c r="X215" t="s">
        <v>63</v>
      </c>
      <c r="Z215" t="s">
        <v>63</v>
      </c>
      <c r="AA215" t="s">
        <v>63</v>
      </c>
      <c r="AB215" t="s">
        <v>63</v>
      </c>
      <c r="AC215" t="s">
        <v>63</v>
      </c>
      <c r="AD215" t="s">
        <v>63</v>
      </c>
      <c r="AE215">
        <v>116.5</v>
      </c>
      <c r="AF215">
        <v>10</v>
      </c>
      <c r="AG215">
        <v>93.33</v>
      </c>
      <c r="AH215">
        <v>93.33</v>
      </c>
      <c r="AI215">
        <v>93.33</v>
      </c>
      <c r="AJ215">
        <v>93.33</v>
      </c>
      <c r="AT215">
        <v>64.72</v>
      </c>
      <c r="AU215">
        <v>0</v>
      </c>
      <c r="AV215">
        <v>64.72</v>
      </c>
      <c r="AY215">
        <v>0</v>
      </c>
      <c r="AZ215">
        <v>0</v>
      </c>
      <c r="BA215">
        <v>93.33</v>
      </c>
      <c r="BB215">
        <v>74.260000000000005</v>
      </c>
      <c r="BC215">
        <v>28</v>
      </c>
      <c r="BD215">
        <v>66.83</v>
      </c>
      <c r="BE215">
        <f t="shared" si="7"/>
        <v>116.5</v>
      </c>
      <c r="BF215">
        <f t="shared" si="8"/>
        <v>76.833333333333343</v>
      </c>
      <c r="BG215" t="s">
        <v>758</v>
      </c>
    </row>
    <row r="216" spans="1:59" x14ac:dyDescent="0.3">
      <c r="A216" t="s">
        <v>618</v>
      </c>
      <c r="B216">
        <v>127112</v>
      </c>
      <c r="C216">
        <v>24323612</v>
      </c>
      <c r="D216" t="s">
        <v>619</v>
      </c>
      <c r="E216" t="s">
        <v>61</v>
      </c>
      <c r="F216" t="s">
        <v>72</v>
      </c>
      <c r="G216">
        <v>10</v>
      </c>
      <c r="H216">
        <v>10</v>
      </c>
      <c r="I216">
        <v>9.5</v>
      </c>
      <c r="J216" t="s">
        <v>63</v>
      </c>
      <c r="K216" t="s">
        <v>63</v>
      </c>
      <c r="M216" t="s">
        <v>63</v>
      </c>
      <c r="N216" t="s">
        <v>63</v>
      </c>
      <c r="O216" t="s">
        <v>63</v>
      </c>
      <c r="P216" t="s">
        <v>63</v>
      </c>
      <c r="R216" t="s">
        <v>63</v>
      </c>
      <c r="S216" t="s">
        <v>63</v>
      </c>
      <c r="T216" t="s">
        <v>63</v>
      </c>
      <c r="U216" t="s">
        <v>63</v>
      </c>
      <c r="W216" t="s">
        <v>63</v>
      </c>
      <c r="X216" t="s">
        <v>63</v>
      </c>
      <c r="Y216" t="s">
        <v>63</v>
      </c>
      <c r="Z216" t="s">
        <v>63</v>
      </c>
      <c r="AB216" t="s">
        <v>63</v>
      </c>
      <c r="AC216" t="s">
        <v>63</v>
      </c>
      <c r="AD216" t="s">
        <v>63</v>
      </c>
      <c r="AE216">
        <v>112</v>
      </c>
      <c r="AF216">
        <v>10</v>
      </c>
      <c r="AG216">
        <v>98.33</v>
      </c>
      <c r="AH216">
        <v>98.33</v>
      </c>
      <c r="AI216">
        <v>98.33</v>
      </c>
      <c r="AJ216">
        <v>98.33</v>
      </c>
      <c r="AT216">
        <v>62.22</v>
      </c>
      <c r="AU216">
        <v>0</v>
      </c>
      <c r="AV216">
        <v>62.22</v>
      </c>
      <c r="AY216">
        <v>0</v>
      </c>
      <c r="AZ216">
        <v>0</v>
      </c>
      <c r="BA216">
        <v>98.33</v>
      </c>
      <c r="BB216">
        <v>74.260000000000005</v>
      </c>
      <c r="BC216">
        <v>29.5</v>
      </c>
      <c r="BD216">
        <v>66.83</v>
      </c>
      <c r="BE216">
        <f t="shared" si="7"/>
        <v>112</v>
      </c>
      <c r="BF216">
        <f t="shared" si="8"/>
        <v>76.833333333333343</v>
      </c>
      <c r="BG216" t="s">
        <v>758</v>
      </c>
    </row>
    <row r="217" spans="1:59" x14ac:dyDescent="0.3">
      <c r="A217" t="s">
        <v>86</v>
      </c>
      <c r="B217">
        <v>131619</v>
      </c>
      <c r="C217">
        <v>24364361</v>
      </c>
      <c r="D217" t="s">
        <v>87</v>
      </c>
      <c r="E217" t="s">
        <v>61</v>
      </c>
      <c r="F217" t="s">
        <v>77</v>
      </c>
      <c r="G217">
        <v>8</v>
      </c>
      <c r="H217">
        <v>10</v>
      </c>
      <c r="I217">
        <v>9</v>
      </c>
      <c r="J217" t="s">
        <v>63</v>
      </c>
      <c r="K217" t="s">
        <v>63</v>
      </c>
      <c r="L217" t="s">
        <v>63</v>
      </c>
      <c r="N217" t="s">
        <v>63</v>
      </c>
      <c r="O217" t="s">
        <v>63</v>
      </c>
      <c r="P217" t="s">
        <v>63</v>
      </c>
      <c r="Q217" t="s">
        <v>63</v>
      </c>
      <c r="S217" t="s">
        <v>63</v>
      </c>
      <c r="T217" t="s">
        <v>63</v>
      </c>
      <c r="U217" t="s">
        <v>63</v>
      </c>
      <c r="V217" t="s">
        <v>63</v>
      </c>
      <c r="X217" t="s">
        <v>63</v>
      </c>
      <c r="Y217" t="s">
        <v>63</v>
      </c>
      <c r="Z217" t="s">
        <v>63</v>
      </c>
      <c r="AA217" t="s">
        <v>63</v>
      </c>
      <c r="AC217" t="s">
        <v>63</v>
      </c>
      <c r="AD217" t="s">
        <v>63</v>
      </c>
      <c r="AE217">
        <v>119</v>
      </c>
      <c r="AF217">
        <v>10</v>
      </c>
      <c r="AG217">
        <v>90</v>
      </c>
      <c r="AH217">
        <v>90</v>
      </c>
      <c r="AI217">
        <v>90</v>
      </c>
      <c r="AJ217">
        <v>90</v>
      </c>
      <c r="AT217">
        <v>66.11</v>
      </c>
      <c r="AU217">
        <v>0</v>
      </c>
      <c r="AV217">
        <v>66.11</v>
      </c>
      <c r="AY217">
        <v>0</v>
      </c>
      <c r="AZ217">
        <v>0</v>
      </c>
      <c r="BA217">
        <v>90</v>
      </c>
      <c r="BB217">
        <v>74.069999999999993</v>
      </c>
      <c r="BC217">
        <v>27</v>
      </c>
      <c r="BD217">
        <v>66.67</v>
      </c>
      <c r="BE217">
        <f t="shared" si="7"/>
        <v>119</v>
      </c>
      <c r="BF217">
        <f t="shared" si="8"/>
        <v>76.666666666666657</v>
      </c>
      <c r="BG217" t="s">
        <v>758</v>
      </c>
    </row>
    <row r="218" spans="1:59" x14ac:dyDescent="0.3">
      <c r="A218" t="s">
        <v>304</v>
      </c>
      <c r="B218">
        <v>123064</v>
      </c>
      <c r="C218">
        <v>24275655</v>
      </c>
      <c r="D218" t="s">
        <v>305</v>
      </c>
      <c r="E218" t="s">
        <v>61</v>
      </c>
      <c r="F218" t="s">
        <v>77</v>
      </c>
      <c r="G218">
        <v>8</v>
      </c>
      <c r="H218">
        <v>10</v>
      </c>
      <c r="I218">
        <v>10</v>
      </c>
      <c r="J218" t="s">
        <v>63</v>
      </c>
      <c r="K218" t="s">
        <v>63</v>
      </c>
      <c r="L218" t="s">
        <v>63</v>
      </c>
      <c r="N218" t="s">
        <v>63</v>
      </c>
      <c r="O218" t="s">
        <v>63</v>
      </c>
      <c r="P218" t="s">
        <v>63</v>
      </c>
      <c r="Q218" t="s">
        <v>63</v>
      </c>
      <c r="S218" t="s">
        <v>63</v>
      </c>
      <c r="T218" t="s">
        <v>63</v>
      </c>
      <c r="U218" t="s">
        <v>63</v>
      </c>
      <c r="V218" t="s">
        <v>63</v>
      </c>
      <c r="X218" t="s">
        <v>63</v>
      </c>
      <c r="Y218" t="s">
        <v>63</v>
      </c>
      <c r="Z218" t="s">
        <v>63</v>
      </c>
      <c r="AA218" t="s">
        <v>63</v>
      </c>
      <c r="AC218" t="s">
        <v>63</v>
      </c>
      <c r="AD218" t="s">
        <v>63</v>
      </c>
      <c r="AE218">
        <v>116</v>
      </c>
      <c r="AF218">
        <v>10</v>
      </c>
      <c r="AG218">
        <v>93.33</v>
      </c>
      <c r="AH218">
        <v>93.33</v>
      </c>
      <c r="AI218">
        <v>93.33</v>
      </c>
      <c r="AJ218">
        <v>93.33</v>
      </c>
      <c r="AT218">
        <v>64.44</v>
      </c>
      <c r="AU218">
        <v>0</v>
      </c>
      <c r="AV218">
        <v>64.44</v>
      </c>
      <c r="AY218">
        <v>0</v>
      </c>
      <c r="AZ218">
        <v>0</v>
      </c>
      <c r="BA218">
        <v>93.33</v>
      </c>
      <c r="BB218">
        <v>74.069999999999993</v>
      </c>
      <c r="BC218">
        <v>28</v>
      </c>
      <c r="BD218">
        <v>66.67</v>
      </c>
      <c r="BE218">
        <f t="shared" si="7"/>
        <v>116</v>
      </c>
      <c r="BF218">
        <f t="shared" si="8"/>
        <v>76.666666666666657</v>
      </c>
      <c r="BG218" t="s">
        <v>758</v>
      </c>
    </row>
    <row r="219" spans="1:59" x14ac:dyDescent="0.3">
      <c r="A219" t="s">
        <v>580</v>
      </c>
      <c r="B219">
        <v>127825</v>
      </c>
      <c r="C219">
        <v>24336634</v>
      </c>
      <c r="D219" t="s">
        <v>581</v>
      </c>
      <c r="E219" t="s">
        <v>61</v>
      </c>
      <c r="F219" t="s">
        <v>69</v>
      </c>
      <c r="G219">
        <v>8</v>
      </c>
      <c r="H219">
        <v>10</v>
      </c>
      <c r="I219">
        <v>10</v>
      </c>
      <c r="J219" t="s">
        <v>63</v>
      </c>
      <c r="L219" t="s">
        <v>63</v>
      </c>
      <c r="M219" t="s">
        <v>63</v>
      </c>
      <c r="N219" t="s">
        <v>63</v>
      </c>
      <c r="O219" t="s">
        <v>63</v>
      </c>
      <c r="Q219" t="s">
        <v>63</v>
      </c>
      <c r="R219" t="s">
        <v>63</v>
      </c>
      <c r="S219" t="s">
        <v>63</v>
      </c>
      <c r="T219" t="s">
        <v>63</v>
      </c>
      <c r="V219" t="s">
        <v>63</v>
      </c>
      <c r="W219" t="s">
        <v>63</v>
      </c>
      <c r="X219" t="s">
        <v>63</v>
      </c>
      <c r="Y219" t="s">
        <v>63</v>
      </c>
      <c r="AA219" t="s">
        <v>63</v>
      </c>
      <c r="AB219" t="s">
        <v>63</v>
      </c>
      <c r="AC219" t="s">
        <v>63</v>
      </c>
      <c r="AD219" t="s">
        <v>63</v>
      </c>
      <c r="AE219">
        <v>116</v>
      </c>
      <c r="AF219">
        <v>10</v>
      </c>
      <c r="AG219">
        <v>93.33</v>
      </c>
      <c r="AH219">
        <v>93.33</v>
      </c>
      <c r="AI219">
        <v>93.33</v>
      </c>
      <c r="AJ219">
        <v>93.33</v>
      </c>
      <c r="AT219">
        <v>64.44</v>
      </c>
      <c r="AU219">
        <v>0</v>
      </c>
      <c r="AV219">
        <v>64.44</v>
      </c>
      <c r="AY219">
        <v>0</v>
      </c>
      <c r="AZ219">
        <v>0</v>
      </c>
      <c r="BA219">
        <v>93.33</v>
      </c>
      <c r="BB219">
        <v>74.069999999999993</v>
      </c>
      <c r="BC219">
        <v>28</v>
      </c>
      <c r="BD219">
        <v>66.67</v>
      </c>
      <c r="BE219">
        <f t="shared" si="7"/>
        <v>116</v>
      </c>
      <c r="BF219">
        <f t="shared" si="8"/>
        <v>76.666666666666657</v>
      </c>
      <c r="BG219" t="s">
        <v>758</v>
      </c>
    </row>
    <row r="220" spans="1:59" x14ac:dyDescent="0.3">
      <c r="A220" t="s">
        <v>390</v>
      </c>
      <c r="B220">
        <v>127650</v>
      </c>
      <c r="C220">
        <v>24335427</v>
      </c>
      <c r="D220" t="s">
        <v>391</v>
      </c>
      <c r="E220" t="s">
        <v>61</v>
      </c>
      <c r="F220" t="s">
        <v>62</v>
      </c>
      <c r="G220">
        <v>10</v>
      </c>
      <c r="H220">
        <v>9.25</v>
      </c>
      <c r="I220">
        <v>9</v>
      </c>
      <c r="J220" t="s">
        <v>63</v>
      </c>
      <c r="K220" t="s">
        <v>63</v>
      </c>
      <c r="L220" t="s">
        <v>63</v>
      </c>
      <c r="M220" t="s">
        <v>63</v>
      </c>
      <c r="O220" t="s">
        <v>63</v>
      </c>
      <c r="P220" t="s">
        <v>63</v>
      </c>
      <c r="Q220" t="s">
        <v>63</v>
      </c>
      <c r="R220" t="s">
        <v>63</v>
      </c>
      <c r="T220" t="s">
        <v>63</v>
      </c>
      <c r="U220" t="s">
        <v>63</v>
      </c>
      <c r="V220" t="s">
        <v>63</v>
      </c>
      <c r="W220" t="s">
        <v>63</v>
      </c>
      <c r="Y220" t="s">
        <v>63</v>
      </c>
      <c r="Z220" t="s">
        <v>63</v>
      </c>
      <c r="AA220" t="s">
        <v>63</v>
      </c>
      <c r="AB220" t="s">
        <v>63</v>
      </c>
      <c r="AD220" t="s">
        <v>63</v>
      </c>
      <c r="AE220">
        <v>115</v>
      </c>
      <c r="AF220">
        <v>10</v>
      </c>
      <c r="AG220">
        <v>94.17</v>
      </c>
      <c r="AH220">
        <v>94.17</v>
      </c>
      <c r="AI220">
        <v>94.17</v>
      </c>
      <c r="AJ220">
        <v>94.17</v>
      </c>
      <c r="AT220">
        <v>63.89</v>
      </c>
      <c r="AU220">
        <v>0</v>
      </c>
      <c r="AV220">
        <v>63.89</v>
      </c>
      <c r="AY220">
        <v>0</v>
      </c>
      <c r="AZ220">
        <v>0</v>
      </c>
      <c r="BA220">
        <v>94.17</v>
      </c>
      <c r="BB220">
        <v>73.98</v>
      </c>
      <c r="BC220">
        <v>28.25</v>
      </c>
      <c r="BD220">
        <v>66.58</v>
      </c>
      <c r="BE220">
        <f t="shared" si="7"/>
        <v>115</v>
      </c>
      <c r="BF220">
        <f t="shared" si="8"/>
        <v>76.583333333333343</v>
      </c>
      <c r="BG220" t="s">
        <v>758</v>
      </c>
    </row>
    <row r="221" spans="1:59" x14ac:dyDescent="0.3">
      <c r="A221" t="s">
        <v>98</v>
      </c>
      <c r="B221">
        <v>36913</v>
      </c>
      <c r="C221">
        <v>17065926</v>
      </c>
      <c r="D221" t="s">
        <v>99</v>
      </c>
      <c r="E221" t="s">
        <v>61</v>
      </c>
      <c r="F221" t="s">
        <v>72</v>
      </c>
      <c r="G221">
        <v>9.5</v>
      </c>
      <c r="H221">
        <v>9.5</v>
      </c>
      <c r="I221">
        <v>10</v>
      </c>
      <c r="J221" t="s">
        <v>63</v>
      </c>
      <c r="K221" t="s">
        <v>63</v>
      </c>
      <c r="M221" t="s">
        <v>63</v>
      </c>
      <c r="N221" t="s">
        <v>63</v>
      </c>
      <c r="O221" t="s">
        <v>63</v>
      </c>
      <c r="P221" t="s">
        <v>63</v>
      </c>
      <c r="R221" t="s">
        <v>63</v>
      </c>
      <c r="S221" t="s">
        <v>63</v>
      </c>
      <c r="T221" t="s">
        <v>63</v>
      </c>
      <c r="U221" t="s">
        <v>63</v>
      </c>
      <c r="W221" t="s">
        <v>63</v>
      </c>
      <c r="X221" t="s">
        <v>63</v>
      </c>
      <c r="Y221" t="s">
        <v>63</v>
      </c>
      <c r="Z221" t="s">
        <v>63</v>
      </c>
      <c r="AB221" t="s">
        <v>63</v>
      </c>
      <c r="AC221" t="s">
        <v>63</v>
      </c>
      <c r="AD221" t="s">
        <v>63</v>
      </c>
      <c r="AE221">
        <v>112.5</v>
      </c>
      <c r="AF221">
        <v>10</v>
      </c>
      <c r="AG221">
        <v>96.67</v>
      </c>
      <c r="AH221">
        <v>96.67</v>
      </c>
      <c r="AI221">
        <v>96.67</v>
      </c>
      <c r="AJ221">
        <v>96.67</v>
      </c>
      <c r="AT221">
        <v>62.5</v>
      </c>
      <c r="AU221">
        <v>0</v>
      </c>
      <c r="AV221">
        <v>62.5</v>
      </c>
      <c r="AY221">
        <v>0</v>
      </c>
      <c r="AZ221">
        <v>0</v>
      </c>
      <c r="BA221">
        <v>96.67</v>
      </c>
      <c r="BB221">
        <v>73.89</v>
      </c>
      <c r="BC221">
        <v>29</v>
      </c>
      <c r="BD221">
        <v>66.5</v>
      </c>
      <c r="BE221">
        <f t="shared" si="7"/>
        <v>112.5</v>
      </c>
      <c r="BF221">
        <f t="shared" si="8"/>
        <v>76.5</v>
      </c>
      <c r="BG221" t="s">
        <v>758</v>
      </c>
    </row>
    <row r="222" spans="1:59" x14ac:dyDescent="0.3">
      <c r="A222" t="s">
        <v>310</v>
      </c>
      <c r="B222">
        <v>133159</v>
      </c>
      <c r="C222">
        <v>24379049</v>
      </c>
      <c r="D222" t="s">
        <v>311</v>
      </c>
      <c r="E222" t="s">
        <v>61</v>
      </c>
      <c r="F222" t="s">
        <v>72</v>
      </c>
      <c r="G222">
        <v>9</v>
      </c>
      <c r="H222">
        <v>10</v>
      </c>
      <c r="I222">
        <v>10</v>
      </c>
      <c r="J222" t="s">
        <v>63</v>
      </c>
      <c r="K222" t="s">
        <v>63</v>
      </c>
      <c r="M222" t="s">
        <v>63</v>
      </c>
      <c r="N222" t="s">
        <v>63</v>
      </c>
      <c r="O222" t="s">
        <v>63</v>
      </c>
      <c r="P222" t="s">
        <v>63</v>
      </c>
      <c r="R222" t="s">
        <v>63</v>
      </c>
      <c r="S222" t="s">
        <v>63</v>
      </c>
      <c r="T222" t="s">
        <v>63</v>
      </c>
      <c r="U222" t="s">
        <v>63</v>
      </c>
      <c r="W222" t="s">
        <v>63</v>
      </c>
      <c r="X222" t="s">
        <v>63</v>
      </c>
      <c r="Y222" t="s">
        <v>63</v>
      </c>
      <c r="Z222" t="s">
        <v>63</v>
      </c>
      <c r="AB222" t="s">
        <v>63</v>
      </c>
      <c r="AC222" t="s">
        <v>63</v>
      </c>
      <c r="AD222" t="s">
        <v>63</v>
      </c>
      <c r="AE222">
        <v>112.5</v>
      </c>
      <c r="AF222">
        <v>10</v>
      </c>
      <c r="AG222">
        <v>96.67</v>
      </c>
      <c r="AH222">
        <v>96.67</v>
      </c>
      <c r="AI222">
        <v>96.67</v>
      </c>
      <c r="AJ222">
        <v>96.67</v>
      </c>
      <c r="AT222">
        <v>62.5</v>
      </c>
      <c r="AU222">
        <v>0</v>
      </c>
      <c r="AV222">
        <v>62.5</v>
      </c>
      <c r="AY222">
        <v>0</v>
      </c>
      <c r="AZ222">
        <v>0</v>
      </c>
      <c r="BA222">
        <v>96.67</v>
      </c>
      <c r="BB222">
        <v>73.89</v>
      </c>
      <c r="BC222">
        <v>29</v>
      </c>
      <c r="BD222">
        <v>66.5</v>
      </c>
      <c r="BE222">
        <f t="shared" si="7"/>
        <v>112.5</v>
      </c>
      <c r="BF222">
        <f t="shared" si="8"/>
        <v>76.5</v>
      </c>
      <c r="BG222" t="s">
        <v>758</v>
      </c>
    </row>
    <row r="223" spans="1:59" x14ac:dyDescent="0.3">
      <c r="A223" t="s">
        <v>70</v>
      </c>
      <c r="B223">
        <v>131556</v>
      </c>
      <c r="C223">
        <v>24363239</v>
      </c>
      <c r="D223" t="s">
        <v>71</v>
      </c>
      <c r="E223" t="s">
        <v>61</v>
      </c>
      <c r="F223" t="s">
        <v>72</v>
      </c>
      <c r="G223">
        <v>5</v>
      </c>
      <c r="H223">
        <v>7.5</v>
      </c>
      <c r="I223">
        <v>4</v>
      </c>
      <c r="J223" t="s">
        <v>63</v>
      </c>
      <c r="K223" t="s">
        <v>63</v>
      </c>
      <c r="M223" t="s">
        <v>63</v>
      </c>
      <c r="N223" t="s">
        <v>63</v>
      </c>
      <c r="O223" t="s">
        <v>63</v>
      </c>
      <c r="P223" t="s">
        <v>63</v>
      </c>
      <c r="R223" t="s">
        <v>63</v>
      </c>
      <c r="S223" t="s">
        <v>63</v>
      </c>
      <c r="T223" t="s">
        <v>63</v>
      </c>
      <c r="U223" t="s">
        <v>63</v>
      </c>
      <c r="W223" t="s">
        <v>63</v>
      </c>
      <c r="X223" t="s">
        <v>63</v>
      </c>
      <c r="Y223" t="s">
        <v>63</v>
      </c>
      <c r="Z223" t="s">
        <v>63</v>
      </c>
      <c r="AB223" t="s">
        <v>63</v>
      </c>
      <c r="AC223" t="s">
        <v>63</v>
      </c>
      <c r="AD223" t="s">
        <v>63</v>
      </c>
      <c r="AE223">
        <v>149.5</v>
      </c>
      <c r="AF223">
        <v>10</v>
      </c>
      <c r="AG223">
        <v>55</v>
      </c>
      <c r="AH223">
        <v>55</v>
      </c>
      <c r="AI223">
        <v>55</v>
      </c>
      <c r="AJ223">
        <v>55</v>
      </c>
      <c r="AT223">
        <v>83.06</v>
      </c>
      <c r="AU223">
        <v>0</v>
      </c>
      <c r="AV223">
        <v>83.06</v>
      </c>
      <c r="AY223">
        <v>0</v>
      </c>
      <c r="AZ223">
        <v>0</v>
      </c>
      <c r="BA223">
        <v>55</v>
      </c>
      <c r="BB223">
        <v>73.7</v>
      </c>
      <c r="BC223">
        <v>16.5</v>
      </c>
      <c r="BD223">
        <v>66.33</v>
      </c>
      <c r="BE223">
        <f t="shared" si="7"/>
        <v>149.5</v>
      </c>
      <c r="BF223">
        <f t="shared" si="8"/>
        <v>76.333333333333343</v>
      </c>
      <c r="BG223" t="s">
        <v>758</v>
      </c>
    </row>
    <row r="224" spans="1:59" x14ac:dyDescent="0.3">
      <c r="A224" t="s">
        <v>324</v>
      </c>
      <c r="B224">
        <v>127388</v>
      </c>
      <c r="C224">
        <v>24330140</v>
      </c>
      <c r="D224" t="s">
        <v>325</v>
      </c>
      <c r="E224" t="s">
        <v>61</v>
      </c>
      <c r="F224" t="s">
        <v>72</v>
      </c>
      <c r="G224">
        <v>7.5</v>
      </c>
      <c r="H224">
        <v>10</v>
      </c>
      <c r="I224">
        <v>10</v>
      </c>
      <c r="J224" t="s">
        <v>63</v>
      </c>
      <c r="K224" t="s">
        <v>63</v>
      </c>
      <c r="M224" t="s">
        <v>63</v>
      </c>
      <c r="N224" t="s">
        <v>63</v>
      </c>
      <c r="O224" t="s">
        <v>63</v>
      </c>
      <c r="P224" t="s">
        <v>63</v>
      </c>
      <c r="R224" t="s">
        <v>63</v>
      </c>
      <c r="S224" t="s">
        <v>63</v>
      </c>
      <c r="T224" t="s">
        <v>63</v>
      </c>
      <c r="U224" t="s">
        <v>63</v>
      </c>
      <c r="W224" t="s">
        <v>63</v>
      </c>
      <c r="X224" t="s">
        <v>63</v>
      </c>
      <c r="Y224" t="s">
        <v>63</v>
      </c>
      <c r="Z224" t="s">
        <v>63</v>
      </c>
      <c r="AB224" t="s">
        <v>63</v>
      </c>
      <c r="AC224" t="s">
        <v>63</v>
      </c>
      <c r="AD224" t="s">
        <v>63</v>
      </c>
      <c r="AE224">
        <v>116.5</v>
      </c>
      <c r="AF224">
        <v>10</v>
      </c>
      <c r="AG224">
        <v>91.67</v>
      </c>
      <c r="AH224">
        <v>91.67</v>
      </c>
      <c r="AI224">
        <v>91.67</v>
      </c>
      <c r="AJ224">
        <v>91.67</v>
      </c>
      <c r="AT224">
        <v>64.72</v>
      </c>
      <c r="AU224">
        <v>0</v>
      </c>
      <c r="AV224">
        <v>64.72</v>
      </c>
      <c r="AY224">
        <v>0</v>
      </c>
      <c r="AZ224">
        <v>0</v>
      </c>
      <c r="BA224">
        <v>91.67</v>
      </c>
      <c r="BB224">
        <v>73.7</v>
      </c>
      <c r="BC224">
        <v>27.5</v>
      </c>
      <c r="BD224">
        <v>66.33</v>
      </c>
      <c r="BE224">
        <f t="shared" si="7"/>
        <v>116.5</v>
      </c>
      <c r="BF224">
        <f t="shared" si="8"/>
        <v>76.333333333333343</v>
      </c>
      <c r="BG224" t="s">
        <v>758</v>
      </c>
    </row>
    <row r="225" spans="1:59" x14ac:dyDescent="0.3">
      <c r="A225" t="s">
        <v>458</v>
      </c>
      <c r="B225">
        <v>122868</v>
      </c>
      <c r="C225">
        <v>24266016</v>
      </c>
      <c r="D225" t="s">
        <v>459</v>
      </c>
      <c r="E225" t="s">
        <v>61</v>
      </c>
      <c r="F225" t="s">
        <v>72</v>
      </c>
      <c r="G225">
        <v>9</v>
      </c>
      <c r="H225">
        <v>9.25</v>
      </c>
      <c r="I225">
        <v>10</v>
      </c>
      <c r="J225" t="s">
        <v>63</v>
      </c>
      <c r="K225" t="s">
        <v>63</v>
      </c>
      <c r="M225" t="s">
        <v>63</v>
      </c>
      <c r="N225" t="s">
        <v>63</v>
      </c>
      <c r="O225" t="s">
        <v>63</v>
      </c>
      <c r="P225" t="s">
        <v>63</v>
      </c>
      <c r="R225" t="s">
        <v>63</v>
      </c>
      <c r="S225" t="s">
        <v>63</v>
      </c>
      <c r="T225" t="s">
        <v>63</v>
      </c>
      <c r="U225" t="s">
        <v>63</v>
      </c>
      <c r="W225" t="s">
        <v>63</v>
      </c>
      <c r="X225" t="s">
        <v>63</v>
      </c>
      <c r="Y225" t="s">
        <v>63</v>
      </c>
      <c r="Z225" t="s">
        <v>63</v>
      </c>
      <c r="AB225" t="s">
        <v>63</v>
      </c>
      <c r="AC225" t="s">
        <v>63</v>
      </c>
      <c r="AD225" t="s">
        <v>63</v>
      </c>
      <c r="AE225">
        <v>114</v>
      </c>
      <c r="AF225">
        <v>10</v>
      </c>
      <c r="AG225">
        <v>94.17</v>
      </c>
      <c r="AH225">
        <v>94.17</v>
      </c>
      <c r="AI225">
        <v>94.17</v>
      </c>
      <c r="AJ225">
        <v>94.17</v>
      </c>
      <c r="AT225">
        <v>63.33</v>
      </c>
      <c r="AU225">
        <v>0</v>
      </c>
      <c r="AV225">
        <v>63.33</v>
      </c>
      <c r="AY225">
        <v>0</v>
      </c>
      <c r="AZ225">
        <v>0</v>
      </c>
      <c r="BA225">
        <v>94.17</v>
      </c>
      <c r="BB225">
        <v>73.61</v>
      </c>
      <c r="BC225">
        <v>28.25</v>
      </c>
      <c r="BD225">
        <v>66.25</v>
      </c>
      <c r="BE225">
        <f t="shared" si="7"/>
        <v>114</v>
      </c>
      <c r="BF225">
        <f t="shared" si="8"/>
        <v>76.25</v>
      </c>
      <c r="BG225" t="s">
        <v>758</v>
      </c>
    </row>
    <row r="226" spans="1:59" x14ac:dyDescent="0.3">
      <c r="A226" t="s">
        <v>592</v>
      </c>
      <c r="B226">
        <v>127598</v>
      </c>
      <c r="C226">
        <v>24332826</v>
      </c>
      <c r="D226" t="s">
        <v>593</v>
      </c>
      <c r="E226" t="s">
        <v>61</v>
      </c>
      <c r="F226" t="s">
        <v>72</v>
      </c>
      <c r="G226">
        <v>8</v>
      </c>
      <c r="H226">
        <v>8.75</v>
      </c>
      <c r="I226">
        <v>10</v>
      </c>
      <c r="J226" t="s">
        <v>63</v>
      </c>
      <c r="K226" t="s">
        <v>63</v>
      </c>
      <c r="M226" t="s">
        <v>63</v>
      </c>
      <c r="N226" t="s">
        <v>63</v>
      </c>
      <c r="O226" t="s">
        <v>63</v>
      </c>
      <c r="P226" t="s">
        <v>63</v>
      </c>
      <c r="R226" t="s">
        <v>63</v>
      </c>
      <c r="S226" t="s">
        <v>63</v>
      </c>
      <c r="T226" t="s">
        <v>63</v>
      </c>
      <c r="U226" t="s">
        <v>63</v>
      </c>
      <c r="W226" t="s">
        <v>63</v>
      </c>
      <c r="X226" t="s">
        <v>63</v>
      </c>
      <c r="Y226" t="s">
        <v>63</v>
      </c>
      <c r="Z226" t="s">
        <v>63</v>
      </c>
      <c r="AB226" t="s">
        <v>63</v>
      </c>
      <c r="AC226" t="s">
        <v>63</v>
      </c>
      <c r="AD226" t="s">
        <v>63</v>
      </c>
      <c r="AE226">
        <v>125.5</v>
      </c>
      <c r="AF226">
        <v>10</v>
      </c>
      <c r="AG226">
        <v>89.17</v>
      </c>
      <c r="AH226">
        <v>89.17</v>
      </c>
      <c r="AI226">
        <v>89.17</v>
      </c>
      <c r="AJ226">
        <v>89.17</v>
      </c>
      <c r="AT226">
        <v>65.83</v>
      </c>
      <c r="AU226">
        <v>0</v>
      </c>
      <c r="AV226">
        <v>65.83</v>
      </c>
      <c r="AY226">
        <v>0</v>
      </c>
      <c r="AZ226">
        <v>0</v>
      </c>
      <c r="BA226">
        <v>89.17</v>
      </c>
      <c r="BB226">
        <v>73.61</v>
      </c>
      <c r="BC226">
        <v>26.75</v>
      </c>
      <c r="BD226">
        <v>66.25</v>
      </c>
      <c r="BE226">
        <f t="shared" si="7"/>
        <v>125.5</v>
      </c>
      <c r="BF226">
        <f t="shared" si="8"/>
        <v>78.583333333333343</v>
      </c>
      <c r="BG226" t="s">
        <v>758</v>
      </c>
    </row>
    <row r="227" spans="1:59" x14ac:dyDescent="0.3">
      <c r="A227" t="s">
        <v>312</v>
      </c>
      <c r="B227">
        <v>123058</v>
      </c>
      <c r="C227">
        <v>24275111</v>
      </c>
      <c r="D227" t="s">
        <v>313</v>
      </c>
      <c r="E227" t="s">
        <v>61</v>
      </c>
      <c r="F227" t="s">
        <v>72</v>
      </c>
      <c r="G227">
        <v>8.5</v>
      </c>
      <c r="H227">
        <v>10</v>
      </c>
      <c r="I227">
        <v>9</v>
      </c>
      <c r="J227" t="s">
        <v>63</v>
      </c>
      <c r="K227" t="s">
        <v>63</v>
      </c>
      <c r="M227" t="s">
        <v>63</v>
      </c>
      <c r="N227" t="s">
        <v>63</v>
      </c>
      <c r="O227" t="s">
        <v>63</v>
      </c>
      <c r="P227" t="s">
        <v>63</v>
      </c>
      <c r="R227" t="s">
        <v>63</v>
      </c>
      <c r="S227" t="s">
        <v>63</v>
      </c>
      <c r="T227" t="s">
        <v>63</v>
      </c>
      <c r="U227" t="s">
        <v>63</v>
      </c>
      <c r="W227" t="s">
        <v>63</v>
      </c>
      <c r="X227" t="s">
        <v>63</v>
      </c>
      <c r="Y227" t="s">
        <v>63</v>
      </c>
      <c r="Z227" t="s">
        <v>63</v>
      </c>
      <c r="AB227" t="s">
        <v>63</v>
      </c>
      <c r="AC227" t="s">
        <v>63</v>
      </c>
      <c r="AD227" t="s">
        <v>63</v>
      </c>
      <c r="AE227">
        <v>116</v>
      </c>
      <c r="AF227">
        <v>10</v>
      </c>
      <c r="AG227">
        <v>91.67</v>
      </c>
      <c r="AH227">
        <v>91.67</v>
      </c>
      <c r="AI227">
        <v>91.67</v>
      </c>
      <c r="AJ227">
        <v>91.67</v>
      </c>
      <c r="AT227">
        <v>64.44</v>
      </c>
      <c r="AU227">
        <v>0</v>
      </c>
      <c r="AV227">
        <v>64.44</v>
      </c>
      <c r="AY227">
        <v>0</v>
      </c>
      <c r="AZ227">
        <v>0</v>
      </c>
      <c r="BA227">
        <v>91.67</v>
      </c>
      <c r="BB227">
        <v>73.52</v>
      </c>
      <c r="BC227">
        <v>27.5</v>
      </c>
      <c r="BD227">
        <v>66.17</v>
      </c>
      <c r="BE227">
        <f t="shared" si="7"/>
        <v>116</v>
      </c>
      <c r="BF227">
        <f t="shared" si="8"/>
        <v>76.166666666666657</v>
      </c>
      <c r="BG227" t="s">
        <v>758</v>
      </c>
    </row>
    <row r="228" spans="1:59" x14ac:dyDescent="0.3">
      <c r="A228" t="s">
        <v>452</v>
      </c>
      <c r="B228">
        <v>63655</v>
      </c>
      <c r="C228">
        <v>17309315</v>
      </c>
      <c r="D228" t="s">
        <v>453</v>
      </c>
      <c r="E228" t="s">
        <v>61</v>
      </c>
      <c r="F228" t="s">
        <v>77</v>
      </c>
      <c r="G228">
        <v>6</v>
      </c>
      <c r="H228">
        <v>8</v>
      </c>
      <c r="I228">
        <v>9</v>
      </c>
      <c r="J228" t="s">
        <v>63</v>
      </c>
      <c r="K228" t="s">
        <v>63</v>
      </c>
      <c r="L228" t="s">
        <v>63</v>
      </c>
      <c r="N228" t="s">
        <v>63</v>
      </c>
      <c r="O228" t="s">
        <v>63</v>
      </c>
      <c r="P228" t="s">
        <v>63</v>
      </c>
      <c r="Q228" t="s">
        <v>63</v>
      </c>
      <c r="S228" t="s">
        <v>63</v>
      </c>
      <c r="T228" t="s">
        <v>63</v>
      </c>
      <c r="U228" t="s">
        <v>63</v>
      </c>
      <c r="V228" t="s">
        <v>63</v>
      </c>
      <c r="X228" t="s">
        <v>63</v>
      </c>
      <c r="Y228" t="s">
        <v>63</v>
      </c>
      <c r="Z228" t="s">
        <v>63</v>
      </c>
      <c r="AA228" t="s">
        <v>63</v>
      </c>
      <c r="AC228" t="s">
        <v>63</v>
      </c>
      <c r="AD228" t="s">
        <v>63</v>
      </c>
      <c r="AE228">
        <v>129.5</v>
      </c>
      <c r="AF228">
        <v>10</v>
      </c>
      <c r="AG228">
        <v>76.67</v>
      </c>
      <c r="AH228">
        <v>76.67</v>
      </c>
      <c r="AI228">
        <v>76.67</v>
      </c>
      <c r="AJ228">
        <v>76.67</v>
      </c>
      <c r="AT228">
        <v>71.94</v>
      </c>
      <c r="AU228">
        <v>0</v>
      </c>
      <c r="AV228">
        <v>71.94</v>
      </c>
      <c r="AY228">
        <v>0</v>
      </c>
      <c r="AZ228">
        <v>0</v>
      </c>
      <c r="BA228">
        <v>76.67</v>
      </c>
      <c r="BB228">
        <v>73.52</v>
      </c>
      <c r="BC228">
        <v>23</v>
      </c>
      <c r="BD228">
        <v>66.17</v>
      </c>
      <c r="BE228">
        <f t="shared" si="7"/>
        <v>129.5</v>
      </c>
      <c r="BF228">
        <f t="shared" si="8"/>
        <v>76.166666666666657</v>
      </c>
      <c r="BG228" t="s">
        <v>758</v>
      </c>
    </row>
    <row r="229" spans="1:59" x14ac:dyDescent="0.3">
      <c r="A229" t="s">
        <v>552</v>
      </c>
      <c r="B229">
        <v>106747</v>
      </c>
      <c r="C229">
        <v>24071332</v>
      </c>
      <c r="D229" t="s">
        <v>553</v>
      </c>
      <c r="E229" t="s">
        <v>61</v>
      </c>
      <c r="F229" t="s">
        <v>66</v>
      </c>
      <c r="G229">
        <v>9</v>
      </c>
      <c r="H229">
        <v>10</v>
      </c>
      <c r="I229">
        <v>9.5</v>
      </c>
      <c r="K229" t="s">
        <v>63</v>
      </c>
      <c r="L229" t="s">
        <v>63</v>
      </c>
      <c r="M229" t="s">
        <v>63</v>
      </c>
      <c r="N229" t="s">
        <v>63</v>
      </c>
      <c r="P229" t="s">
        <v>63</v>
      </c>
      <c r="Q229" t="s">
        <v>63</v>
      </c>
      <c r="R229" t="s">
        <v>63</v>
      </c>
      <c r="S229" t="s">
        <v>63</v>
      </c>
      <c r="U229" t="s">
        <v>63</v>
      </c>
      <c r="V229" t="s">
        <v>63</v>
      </c>
      <c r="W229" t="s">
        <v>63</v>
      </c>
      <c r="X229" t="s">
        <v>63</v>
      </c>
      <c r="Z229" t="s">
        <v>63</v>
      </c>
      <c r="AA229" t="s">
        <v>63</v>
      </c>
      <c r="AB229" t="s">
        <v>63</v>
      </c>
      <c r="AC229" t="s">
        <v>63</v>
      </c>
      <c r="AD229" t="s">
        <v>63</v>
      </c>
      <c r="AE229">
        <v>113</v>
      </c>
      <c r="AF229">
        <v>10</v>
      </c>
      <c r="AG229">
        <v>95</v>
      </c>
      <c r="AH229">
        <v>95</v>
      </c>
      <c r="AI229">
        <v>95</v>
      </c>
      <c r="AJ229">
        <v>95</v>
      </c>
      <c r="AT229">
        <v>62.78</v>
      </c>
      <c r="AU229">
        <v>0</v>
      </c>
      <c r="AV229">
        <v>62.78</v>
      </c>
      <c r="AY229">
        <v>0</v>
      </c>
      <c r="AZ229">
        <v>0</v>
      </c>
      <c r="BA229">
        <v>95</v>
      </c>
      <c r="BB229">
        <v>73.52</v>
      </c>
      <c r="BC229">
        <v>28.5</v>
      </c>
      <c r="BD229">
        <v>66.17</v>
      </c>
      <c r="BE229">
        <f t="shared" si="7"/>
        <v>113</v>
      </c>
      <c r="BF229">
        <f t="shared" si="8"/>
        <v>76.166666666666657</v>
      </c>
      <c r="BG229" t="s">
        <v>758</v>
      </c>
    </row>
    <row r="230" spans="1:59" x14ac:dyDescent="0.3">
      <c r="A230" t="s">
        <v>134</v>
      </c>
      <c r="B230">
        <v>131317</v>
      </c>
      <c r="C230">
        <v>24361794</v>
      </c>
      <c r="D230" t="s">
        <v>135</v>
      </c>
      <c r="E230" t="s">
        <v>61</v>
      </c>
      <c r="F230" t="s">
        <v>72</v>
      </c>
      <c r="G230">
        <v>6.75</v>
      </c>
      <c r="H230">
        <v>10</v>
      </c>
      <c r="I230">
        <v>9</v>
      </c>
      <c r="J230" t="s">
        <v>63</v>
      </c>
      <c r="K230" t="s">
        <v>63</v>
      </c>
      <c r="M230" t="s">
        <v>63</v>
      </c>
      <c r="N230" t="s">
        <v>63</v>
      </c>
      <c r="O230" t="s">
        <v>63</v>
      </c>
      <c r="P230" t="s">
        <v>63</v>
      </c>
      <c r="R230" t="s">
        <v>63</v>
      </c>
      <c r="S230" t="s">
        <v>63</v>
      </c>
      <c r="T230" t="s">
        <v>63</v>
      </c>
      <c r="U230" t="s">
        <v>63</v>
      </c>
      <c r="W230" t="s">
        <v>63</v>
      </c>
      <c r="X230" t="s">
        <v>63</v>
      </c>
      <c r="Y230" t="s">
        <v>63</v>
      </c>
      <c r="Z230" t="s">
        <v>63</v>
      </c>
      <c r="AB230" t="s">
        <v>63</v>
      </c>
      <c r="AC230" t="s">
        <v>63</v>
      </c>
      <c r="AD230">
        <v>121</v>
      </c>
      <c r="AF230">
        <v>10</v>
      </c>
      <c r="AG230">
        <v>85.83</v>
      </c>
      <c r="AH230">
        <v>85.83</v>
      </c>
      <c r="AI230">
        <v>85.83</v>
      </c>
      <c r="AJ230">
        <v>85.83</v>
      </c>
      <c r="AT230">
        <v>67.22</v>
      </c>
      <c r="AU230">
        <v>0</v>
      </c>
      <c r="AV230">
        <v>33.61</v>
      </c>
      <c r="AY230">
        <v>0</v>
      </c>
      <c r="AZ230">
        <v>0</v>
      </c>
      <c r="BA230">
        <v>85.83</v>
      </c>
      <c r="BB230">
        <v>73.430000000000007</v>
      </c>
      <c r="BC230">
        <v>25.75</v>
      </c>
      <c r="BD230">
        <v>45.92</v>
      </c>
      <c r="BE230">
        <f t="shared" si="7"/>
        <v>121</v>
      </c>
      <c r="BF230">
        <f t="shared" si="8"/>
        <v>76.083333333333343</v>
      </c>
      <c r="BG230" t="s">
        <v>758</v>
      </c>
    </row>
    <row r="231" spans="1:59" x14ac:dyDescent="0.3">
      <c r="A231" t="s">
        <v>136</v>
      </c>
      <c r="B231">
        <v>128816</v>
      </c>
      <c r="C231">
        <v>24349911</v>
      </c>
      <c r="D231" t="s">
        <v>137</v>
      </c>
      <c r="E231" t="s">
        <v>61</v>
      </c>
      <c r="F231" t="s">
        <v>66</v>
      </c>
      <c r="G231">
        <v>6.5</v>
      </c>
      <c r="H231">
        <v>9.75</v>
      </c>
      <c r="I231">
        <v>10</v>
      </c>
      <c r="K231" t="s">
        <v>63</v>
      </c>
      <c r="L231" t="s">
        <v>63</v>
      </c>
      <c r="M231" t="s">
        <v>63</v>
      </c>
      <c r="N231" t="s">
        <v>63</v>
      </c>
      <c r="P231" t="s">
        <v>63</v>
      </c>
      <c r="Q231" t="s">
        <v>63</v>
      </c>
      <c r="R231" t="s">
        <v>63</v>
      </c>
      <c r="S231" t="s">
        <v>63</v>
      </c>
      <c r="U231" t="s">
        <v>63</v>
      </c>
      <c r="V231" t="s">
        <v>63</v>
      </c>
      <c r="W231" t="s">
        <v>63</v>
      </c>
      <c r="X231" t="s">
        <v>63</v>
      </c>
      <c r="Z231" t="s">
        <v>63</v>
      </c>
      <c r="AA231" t="s">
        <v>63</v>
      </c>
      <c r="AB231" t="s">
        <v>63</v>
      </c>
      <c r="AC231" t="s">
        <v>63</v>
      </c>
      <c r="AD231" t="s">
        <v>63</v>
      </c>
      <c r="AE231">
        <v>119.5</v>
      </c>
      <c r="AF231">
        <v>10</v>
      </c>
      <c r="AG231">
        <v>87.5</v>
      </c>
      <c r="AH231">
        <v>87.5</v>
      </c>
      <c r="AI231">
        <v>87.5</v>
      </c>
      <c r="AJ231">
        <v>87.5</v>
      </c>
      <c r="AT231">
        <v>66.39</v>
      </c>
      <c r="AU231">
        <v>0</v>
      </c>
      <c r="AV231">
        <v>66.39</v>
      </c>
      <c r="AY231">
        <v>0</v>
      </c>
      <c r="AZ231">
        <v>0</v>
      </c>
      <c r="BA231">
        <v>87.5</v>
      </c>
      <c r="BB231">
        <v>73.430000000000007</v>
      </c>
      <c r="BC231">
        <v>26.25</v>
      </c>
      <c r="BD231">
        <v>66.08</v>
      </c>
      <c r="BE231">
        <f t="shared" si="7"/>
        <v>119.5</v>
      </c>
      <c r="BF231">
        <f t="shared" si="8"/>
        <v>76.083333333333343</v>
      </c>
      <c r="BG231" t="s">
        <v>758</v>
      </c>
    </row>
    <row r="232" spans="1:59" x14ac:dyDescent="0.3">
      <c r="A232" t="s">
        <v>144</v>
      </c>
      <c r="B232">
        <v>127426</v>
      </c>
      <c r="C232">
        <v>24331364</v>
      </c>
      <c r="D232" t="s">
        <v>145</v>
      </c>
      <c r="E232" t="s">
        <v>61</v>
      </c>
      <c r="F232" t="s">
        <v>72</v>
      </c>
      <c r="G232">
        <v>8</v>
      </c>
      <c r="H232">
        <v>10</v>
      </c>
      <c r="I232">
        <v>10</v>
      </c>
      <c r="J232" t="s">
        <v>63</v>
      </c>
      <c r="K232" t="s">
        <v>63</v>
      </c>
      <c r="M232" t="s">
        <v>63</v>
      </c>
      <c r="N232" t="s">
        <v>63</v>
      </c>
      <c r="O232" t="s">
        <v>63</v>
      </c>
      <c r="P232" t="s">
        <v>63</v>
      </c>
      <c r="R232" t="s">
        <v>63</v>
      </c>
      <c r="S232" t="s">
        <v>63</v>
      </c>
      <c r="T232" t="s">
        <v>63</v>
      </c>
      <c r="U232" t="s">
        <v>63</v>
      </c>
      <c r="W232" t="s">
        <v>63</v>
      </c>
      <c r="X232" t="s">
        <v>63</v>
      </c>
      <c r="Y232" t="s">
        <v>63</v>
      </c>
      <c r="Z232" t="s">
        <v>63</v>
      </c>
      <c r="AB232" t="s">
        <v>63</v>
      </c>
      <c r="AC232" t="s">
        <v>63</v>
      </c>
      <c r="AD232" t="s">
        <v>63</v>
      </c>
      <c r="AE232">
        <v>114</v>
      </c>
      <c r="AF232">
        <v>10</v>
      </c>
      <c r="AG232">
        <v>93.33</v>
      </c>
      <c r="AH232">
        <v>93.33</v>
      </c>
      <c r="AI232">
        <v>93.33</v>
      </c>
      <c r="AJ232">
        <v>93.33</v>
      </c>
      <c r="AT232">
        <v>63.33</v>
      </c>
      <c r="AU232">
        <v>0</v>
      </c>
      <c r="AV232">
        <v>63.33</v>
      </c>
      <c r="AY232">
        <v>0</v>
      </c>
      <c r="AZ232">
        <v>0</v>
      </c>
      <c r="BA232">
        <v>93.33</v>
      </c>
      <c r="BB232">
        <v>73.33</v>
      </c>
      <c r="BC232">
        <v>28</v>
      </c>
      <c r="BD232">
        <v>66</v>
      </c>
      <c r="BE232">
        <f t="shared" si="7"/>
        <v>114</v>
      </c>
      <c r="BF232">
        <f t="shared" si="8"/>
        <v>76</v>
      </c>
      <c r="BG232" t="s">
        <v>758</v>
      </c>
    </row>
    <row r="233" spans="1:59" x14ac:dyDescent="0.3">
      <c r="A233" t="s">
        <v>326</v>
      </c>
      <c r="B233">
        <v>132929</v>
      </c>
      <c r="C233">
        <v>24377162</v>
      </c>
      <c r="D233" t="s">
        <v>327</v>
      </c>
      <c r="E233" t="s">
        <v>61</v>
      </c>
      <c r="F233" t="s">
        <v>62</v>
      </c>
      <c r="G233">
        <v>9</v>
      </c>
      <c r="H233">
        <v>9</v>
      </c>
      <c r="I233">
        <v>9.5</v>
      </c>
      <c r="J233" t="s">
        <v>63</v>
      </c>
      <c r="K233" t="s">
        <v>63</v>
      </c>
      <c r="L233" t="s">
        <v>63</v>
      </c>
      <c r="M233" t="s">
        <v>63</v>
      </c>
      <c r="O233" t="s">
        <v>63</v>
      </c>
      <c r="P233" t="s">
        <v>63</v>
      </c>
      <c r="Q233" t="s">
        <v>63</v>
      </c>
      <c r="R233" t="s">
        <v>63</v>
      </c>
      <c r="T233" t="s">
        <v>63</v>
      </c>
      <c r="U233" t="s">
        <v>63</v>
      </c>
      <c r="V233" t="s">
        <v>63</v>
      </c>
      <c r="W233" t="s">
        <v>63</v>
      </c>
      <c r="Y233" t="s">
        <v>63</v>
      </c>
      <c r="Z233" t="s">
        <v>63</v>
      </c>
      <c r="AA233" t="s">
        <v>63</v>
      </c>
      <c r="AB233" t="s">
        <v>63</v>
      </c>
      <c r="AD233" t="s">
        <v>63</v>
      </c>
      <c r="AE233">
        <v>115.5</v>
      </c>
      <c r="AF233">
        <v>10</v>
      </c>
      <c r="AG233">
        <v>91.67</v>
      </c>
      <c r="AH233">
        <v>91.67</v>
      </c>
      <c r="AI233">
        <v>91.67</v>
      </c>
      <c r="AJ233">
        <v>91.67</v>
      </c>
      <c r="AT233">
        <v>64.17</v>
      </c>
      <c r="AU233">
        <v>0</v>
      </c>
      <c r="AV233">
        <v>64.17</v>
      </c>
      <c r="AY233">
        <v>0</v>
      </c>
      <c r="AZ233">
        <v>0</v>
      </c>
      <c r="BA233">
        <v>91.67</v>
      </c>
      <c r="BB233">
        <v>73.33</v>
      </c>
      <c r="BC233">
        <v>27.5</v>
      </c>
      <c r="BD233">
        <v>66</v>
      </c>
      <c r="BE233">
        <f t="shared" si="7"/>
        <v>115.5</v>
      </c>
      <c r="BF233">
        <f t="shared" si="8"/>
        <v>76</v>
      </c>
      <c r="BG233" t="s">
        <v>758</v>
      </c>
    </row>
    <row r="234" spans="1:59" x14ac:dyDescent="0.3">
      <c r="A234" t="s">
        <v>338</v>
      </c>
      <c r="B234">
        <v>127645</v>
      </c>
      <c r="C234">
        <v>24335376</v>
      </c>
      <c r="D234" t="s">
        <v>339</v>
      </c>
      <c r="E234" t="s">
        <v>61</v>
      </c>
      <c r="F234" t="s">
        <v>69</v>
      </c>
      <c r="G234">
        <v>9</v>
      </c>
      <c r="H234">
        <v>10</v>
      </c>
      <c r="I234">
        <v>9.5</v>
      </c>
      <c r="J234" t="s">
        <v>63</v>
      </c>
      <c r="L234" t="s">
        <v>63</v>
      </c>
      <c r="M234" t="s">
        <v>63</v>
      </c>
      <c r="N234" t="s">
        <v>63</v>
      </c>
      <c r="O234" t="s">
        <v>63</v>
      </c>
      <c r="Q234" t="s">
        <v>63</v>
      </c>
      <c r="R234" t="s">
        <v>63</v>
      </c>
      <c r="S234" t="s">
        <v>63</v>
      </c>
      <c r="T234" t="s">
        <v>63</v>
      </c>
      <c r="V234" t="s">
        <v>63</v>
      </c>
      <c r="W234" t="s">
        <v>63</v>
      </c>
      <c r="X234" t="s">
        <v>63</v>
      </c>
      <c r="Y234" t="s">
        <v>63</v>
      </c>
      <c r="AA234" t="s">
        <v>63</v>
      </c>
      <c r="AB234" t="s">
        <v>63</v>
      </c>
      <c r="AC234" t="s">
        <v>63</v>
      </c>
      <c r="AD234" t="s">
        <v>63</v>
      </c>
      <c r="AE234">
        <v>112.5</v>
      </c>
      <c r="AF234">
        <v>10</v>
      </c>
      <c r="AG234">
        <v>95</v>
      </c>
      <c r="AH234">
        <v>95</v>
      </c>
      <c r="AI234">
        <v>95</v>
      </c>
      <c r="AJ234">
        <v>95</v>
      </c>
      <c r="AT234">
        <v>62.5</v>
      </c>
      <c r="AU234">
        <v>0</v>
      </c>
      <c r="AV234">
        <v>62.5</v>
      </c>
      <c r="AY234">
        <v>0</v>
      </c>
      <c r="AZ234">
        <v>0</v>
      </c>
      <c r="BA234">
        <v>95</v>
      </c>
      <c r="BB234">
        <v>73.33</v>
      </c>
      <c r="BC234">
        <v>28.5</v>
      </c>
      <c r="BD234">
        <v>66</v>
      </c>
      <c r="BE234">
        <f t="shared" si="7"/>
        <v>112.5</v>
      </c>
      <c r="BF234">
        <f t="shared" si="8"/>
        <v>76</v>
      </c>
      <c r="BG234" t="s">
        <v>758</v>
      </c>
    </row>
    <row r="235" spans="1:59" x14ac:dyDescent="0.3">
      <c r="A235" t="s">
        <v>572</v>
      </c>
      <c r="B235">
        <v>106750</v>
      </c>
      <c r="C235">
        <v>24069989</v>
      </c>
      <c r="D235" t="s">
        <v>573</v>
      </c>
      <c r="E235" t="s">
        <v>61</v>
      </c>
      <c r="F235" t="s">
        <v>69</v>
      </c>
      <c r="G235">
        <v>7.5</v>
      </c>
      <c r="H235">
        <v>10</v>
      </c>
      <c r="I235">
        <v>10</v>
      </c>
      <c r="J235" t="s">
        <v>63</v>
      </c>
      <c r="L235" t="s">
        <v>63</v>
      </c>
      <c r="M235" t="s">
        <v>63</v>
      </c>
      <c r="N235" t="s">
        <v>63</v>
      </c>
      <c r="O235" t="s">
        <v>63</v>
      </c>
      <c r="Q235" t="s">
        <v>63</v>
      </c>
      <c r="R235" t="s">
        <v>63</v>
      </c>
      <c r="S235" t="s">
        <v>63</v>
      </c>
      <c r="T235" t="s">
        <v>63</v>
      </c>
      <c r="V235" t="s">
        <v>63</v>
      </c>
      <c r="W235" t="s">
        <v>63</v>
      </c>
      <c r="X235" t="s">
        <v>63</v>
      </c>
      <c r="Y235" t="s">
        <v>63</v>
      </c>
      <c r="AA235" t="s">
        <v>63</v>
      </c>
      <c r="AB235" t="s">
        <v>63</v>
      </c>
      <c r="AC235" t="s">
        <v>63</v>
      </c>
      <c r="AD235" t="s">
        <v>63</v>
      </c>
      <c r="AE235">
        <v>115.5</v>
      </c>
      <c r="AF235">
        <v>10</v>
      </c>
      <c r="AG235">
        <v>91.67</v>
      </c>
      <c r="AH235">
        <v>91.67</v>
      </c>
      <c r="AI235">
        <v>91.67</v>
      </c>
      <c r="AJ235">
        <v>91.67</v>
      </c>
      <c r="AT235">
        <v>64.17</v>
      </c>
      <c r="AU235">
        <v>0</v>
      </c>
      <c r="AV235">
        <v>64.17</v>
      </c>
      <c r="AY235">
        <v>0</v>
      </c>
      <c r="AZ235">
        <v>0</v>
      </c>
      <c r="BA235">
        <v>91.67</v>
      </c>
      <c r="BB235">
        <v>73.33</v>
      </c>
      <c r="BC235">
        <v>27.5</v>
      </c>
      <c r="BD235">
        <v>66</v>
      </c>
      <c r="BE235">
        <f t="shared" si="7"/>
        <v>115.5</v>
      </c>
      <c r="BF235">
        <f t="shared" si="8"/>
        <v>76</v>
      </c>
      <c r="BG235" t="s">
        <v>758</v>
      </c>
    </row>
    <row r="236" spans="1:59" x14ac:dyDescent="0.3">
      <c r="A236" t="s">
        <v>226</v>
      </c>
      <c r="B236">
        <v>126166</v>
      </c>
      <c r="C236">
        <v>24312868</v>
      </c>
      <c r="D236" t="s">
        <v>227</v>
      </c>
      <c r="E236" t="s">
        <v>61</v>
      </c>
      <c r="F236" t="s">
        <v>62</v>
      </c>
      <c r="G236">
        <v>8</v>
      </c>
      <c r="H236">
        <v>9</v>
      </c>
      <c r="I236">
        <v>9</v>
      </c>
      <c r="J236" t="s">
        <v>63</v>
      </c>
      <c r="K236" t="s">
        <v>63</v>
      </c>
      <c r="L236" t="s">
        <v>63</v>
      </c>
      <c r="M236" t="s">
        <v>63</v>
      </c>
      <c r="O236" t="s">
        <v>63</v>
      </c>
      <c r="P236" t="s">
        <v>63</v>
      </c>
      <c r="Q236" t="s">
        <v>63</v>
      </c>
      <c r="R236" t="s">
        <v>63</v>
      </c>
      <c r="T236" t="s">
        <v>63</v>
      </c>
      <c r="U236" t="s">
        <v>63</v>
      </c>
      <c r="V236" t="s">
        <v>63</v>
      </c>
      <c r="W236" t="s">
        <v>63</v>
      </c>
      <c r="Y236" t="s">
        <v>63</v>
      </c>
      <c r="Z236" t="s">
        <v>63</v>
      </c>
      <c r="AA236" t="s">
        <v>63</v>
      </c>
      <c r="AB236" t="s">
        <v>63</v>
      </c>
      <c r="AD236" t="s">
        <v>63</v>
      </c>
      <c r="AE236">
        <v>119.5</v>
      </c>
      <c r="AF236">
        <v>10</v>
      </c>
      <c r="AG236">
        <v>86.67</v>
      </c>
      <c r="AH236">
        <v>86.67</v>
      </c>
      <c r="AI236">
        <v>86.67</v>
      </c>
      <c r="AJ236">
        <v>86.67</v>
      </c>
      <c r="AT236">
        <v>66.39</v>
      </c>
      <c r="AU236">
        <v>0</v>
      </c>
      <c r="AV236">
        <v>66.39</v>
      </c>
      <c r="AY236">
        <v>0</v>
      </c>
      <c r="AZ236">
        <v>0</v>
      </c>
      <c r="BA236">
        <v>86.67</v>
      </c>
      <c r="BB236">
        <v>73.150000000000006</v>
      </c>
      <c r="BC236">
        <v>26</v>
      </c>
      <c r="BD236">
        <v>65.83</v>
      </c>
      <c r="BE236">
        <f t="shared" si="7"/>
        <v>119.5</v>
      </c>
      <c r="BF236">
        <f t="shared" si="8"/>
        <v>75.833333333333343</v>
      </c>
      <c r="BG236" t="s">
        <v>758</v>
      </c>
    </row>
    <row r="237" spans="1:59" x14ac:dyDescent="0.3">
      <c r="A237" t="s">
        <v>634</v>
      </c>
      <c r="B237">
        <v>123459</v>
      </c>
      <c r="C237">
        <v>24275774</v>
      </c>
      <c r="D237" t="s">
        <v>635</v>
      </c>
      <c r="E237" t="s">
        <v>61</v>
      </c>
      <c r="F237" t="s">
        <v>77</v>
      </c>
      <c r="G237">
        <v>7</v>
      </c>
      <c r="H237">
        <v>10</v>
      </c>
      <c r="I237">
        <v>9.5</v>
      </c>
      <c r="J237" t="s">
        <v>63</v>
      </c>
      <c r="K237" t="s">
        <v>63</v>
      </c>
      <c r="L237" t="s">
        <v>63</v>
      </c>
      <c r="N237" t="s">
        <v>63</v>
      </c>
      <c r="O237" t="s">
        <v>63</v>
      </c>
      <c r="P237" t="s">
        <v>63</v>
      </c>
      <c r="Q237" t="s">
        <v>63</v>
      </c>
      <c r="S237" t="s">
        <v>63</v>
      </c>
      <c r="T237" t="s">
        <v>63</v>
      </c>
      <c r="U237" t="s">
        <v>63</v>
      </c>
      <c r="V237" t="s">
        <v>63</v>
      </c>
      <c r="X237" t="s">
        <v>63</v>
      </c>
      <c r="Y237" t="s">
        <v>63</v>
      </c>
      <c r="Z237" t="s">
        <v>63</v>
      </c>
      <c r="AA237" t="s">
        <v>63</v>
      </c>
      <c r="AC237" t="s">
        <v>63</v>
      </c>
      <c r="AD237" t="s">
        <v>63</v>
      </c>
      <c r="AE237">
        <v>118</v>
      </c>
      <c r="AF237">
        <v>10</v>
      </c>
      <c r="AG237">
        <v>88.33</v>
      </c>
      <c r="AH237">
        <v>88.33</v>
      </c>
      <c r="AI237">
        <v>88.33</v>
      </c>
      <c r="AJ237">
        <v>88.33</v>
      </c>
      <c r="AT237">
        <v>65.56</v>
      </c>
      <c r="AU237">
        <v>0</v>
      </c>
      <c r="AV237">
        <v>65.56</v>
      </c>
      <c r="AY237">
        <v>0</v>
      </c>
      <c r="AZ237">
        <v>0</v>
      </c>
      <c r="BA237">
        <v>88.33</v>
      </c>
      <c r="BB237">
        <v>73.150000000000006</v>
      </c>
      <c r="BC237">
        <v>26.5</v>
      </c>
      <c r="BD237">
        <v>65.83</v>
      </c>
      <c r="BE237">
        <f t="shared" si="7"/>
        <v>118</v>
      </c>
      <c r="BF237">
        <f t="shared" si="8"/>
        <v>75.833333333333343</v>
      </c>
      <c r="BG237" t="s">
        <v>758</v>
      </c>
    </row>
    <row r="238" spans="1:59" x14ac:dyDescent="0.3">
      <c r="A238" t="s">
        <v>660</v>
      </c>
      <c r="B238">
        <v>128877</v>
      </c>
      <c r="C238">
        <v>24351220</v>
      </c>
      <c r="D238" t="s">
        <v>661</v>
      </c>
      <c r="E238" t="s">
        <v>61</v>
      </c>
      <c r="F238" t="s">
        <v>77</v>
      </c>
      <c r="G238">
        <v>8</v>
      </c>
      <c r="H238">
        <v>10</v>
      </c>
      <c r="I238">
        <v>5.5</v>
      </c>
      <c r="J238" t="s">
        <v>63</v>
      </c>
      <c r="K238" t="s">
        <v>63</v>
      </c>
      <c r="L238" t="s">
        <v>63</v>
      </c>
      <c r="N238" t="s">
        <v>63</v>
      </c>
      <c r="O238" t="s">
        <v>63</v>
      </c>
      <c r="P238" t="s">
        <v>63</v>
      </c>
      <c r="Q238" t="s">
        <v>63</v>
      </c>
      <c r="S238" t="s">
        <v>63</v>
      </c>
      <c r="T238" t="s">
        <v>63</v>
      </c>
      <c r="U238" t="s">
        <v>63</v>
      </c>
      <c r="V238" t="s">
        <v>63</v>
      </c>
      <c r="X238" t="s">
        <v>63</v>
      </c>
      <c r="Y238" t="s">
        <v>63</v>
      </c>
      <c r="Z238" t="s">
        <v>63</v>
      </c>
      <c r="AA238" t="s">
        <v>63</v>
      </c>
      <c r="AC238" t="s">
        <v>63</v>
      </c>
      <c r="AD238" t="s">
        <v>63</v>
      </c>
      <c r="AE238">
        <v>127</v>
      </c>
      <c r="AF238">
        <v>10</v>
      </c>
      <c r="AG238">
        <v>78.33</v>
      </c>
      <c r="AH238">
        <v>78.33</v>
      </c>
      <c r="AI238">
        <v>78.33</v>
      </c>
      <c r="AJ238">
        <v>78.33</v>
      </c>
      <c r="AT238">
        <v>70.56</v>
      </c>
      <c r="AU238">
        <v>0</v>
      </c>
      <c r="AV238">
        <v>70.56</v>
      </c>
      <c r="AY238">
        <v>0</v>
      </c>
      <c r="AZ238">
        <v>0</v>
      </c>
      <c r="BA238">
        <v>78.33</v>
      </c>
      <c r="BB238">
        <v>73.150000000000006</v>
      </c>
      <c r="BC238">
        <v>23.5</v>
      </c>
      <c r="BD238">
        <v>65.83</v>
      </c>
      <c r="BE238">
        <f t="shared" si="7"/>
        <v>127</v>
      </c>
      <c r="BF238">
        <f t="shared" si="8"/>
        <v>75.833333333333343</v>
      </c>
      <c r="BG238" t="s">
        <v>758</v>
      </c>
    </row>
    <row r="239" spans="1:59" x14ac:dyDescent="0.3">
      <c r="A239" t="s">
        <v>432</v>
      </c>
      <c r="B239">
        <v>132921</v>
      </c>
      <c r="C239">
        <v>24374493</v>
      </c>
      <c r="D239" t="s">
        <v>433</v>
      </c>
      <c r="E239" t="s">
        <v>61</v>
      </c>
      <c r="F239" t="s">
        <v>66</v>
      </c>
      <c r="G239">
        <v>7.75</v>
      </c>
      <c r="H239">
        <v>9</v>
      </c>
      <c r="I239">
        <v>10</v>
      </c>
      <c r="K239" t="s">
        <v>63</v>
      </c>
      <c r="L239" t="s">
        <v>63</v>
      </c>
      <c r="M239" t="s">
        <v>63</v>
      </c>
      <c r="N239" t="s">
        <v>63</v>
      </c>
      <c r="P239" t="s">
        <v>63</v>
      </c>
      <c r="Q239" t="s">
        <v>63</v>
      </c>
      <c r="R239" t="s">
        <v>63</v>
      </c>
      <c r="S239" t="s">
        <v>63</v>
      </c>
      <c r="U239" t="s">
        <v>63</v>
      </c>
      <c r="V239" t="s">
        <v>63</v>
      </c>
      <c r="W239" t="s">
        <v>63</v>
      </c>
      <c r="X239" t="s">
        <v>63</v>
      </c>
      <c r="Z239" t="s">
        <v>63</v>
      </c>
      <c r="AA239" t="s">
        <v>63</v>
      </c>
      <c r="AB239" t="s">
        <v>63</v>
      </c>
      <c r="AC239" t="s">
        <v>63</v>
      </c>
      <c r="AD239" t="s">
        <v>63</v>
      </c>
      <c r="AE239">
        <v>117</v>
      </c>
      <c r="AF239">
        <v>10</v>
      </c>
      <c r="AG239">
        <v>89.17</v>
      </c>
      <c r="AH239">
        <v>89.17</v>
      </c>
      <c r="AI239">
        <v>89.17</v>
      </c>
      <c r="AJ239">
        <v>89.17</v>
      </c>
      <c r="AT239">
        <v>65</v>
      </c>
      <c r="AU239">
        <v>0</v>
      </c>
      <c r="AV239">
        <v>65</v>
      </c>
      <c r="AY239">
        <v>0</v>
      </c>
      <c r="AZ239">
        <v>0</v>
      </c>
      <c r="BA239">
        <v>89.17</v>
      </c>
      <c r="BB239">
        <v>73.06</v>
      </c>
      <c r="BC239">
        <v>26.75</v>
      </c>
      <c r="BD239">
        <v>65.75</v>
      </c>
      <c r="BE239">
        <f t="shared" si="7"/>
        <v>117</v>
      </c>
      <c r="BF239">
        <f t="shared" si="8"/>
        <v>75.75</v>
      </c>
      <c r="BG239" t="s">
        <v>758</v>
      </c>
    </row>
    <row r="240" spans="1:59" x14ac:dyDescent="0.3">
      <c r="A240" t="s">
        <v>276</v>
      </c>
      <c r="B240">
        <v>127233</v>
      </c>
      <c r="C240">
        <v>24328287</v>
      </c>
      <c r="D240" t="s">
        <v>277</v>
      </c>
      <c r="E240" t="s">
        <v>61</v>
      </c>
      <c r="F240" t="s">
        <v>66</v>
      </c>
      <c r="G240">
        <v>7.5</v>
      </c>
      <c r="H240">
        <v>10</v>
      </c>
      <c r="I240">
        <v>10</v>
      </c>
      <c r="K240" t="s">
        <v>63</v>
      </c>
      <c r="L240" t="s">
        <v>63</v>
      </c>
      <c r="M240" t="s">
        <v>63</v>
      </c>
      <c r="N240" t="s">
        <v>63</v>
      </c>
      <c r="P240" t="s">
        <v>63</v>
      </c>
      <c r="Q240" t="s">
        <v>63</v>
      </c>
      <c r="R240" t="s">
        <v>63</v>
      </c>
      <c r="S240" t="s">
        <v>63</v>
      </c>
      <c r="U240" t="s">
        <v>63</v>
      </c>
      <c r="V240" t="s">
        <v>63</v>
      </c>
      <c r="W240" t="s">
        <v>63</v>
      </c>
      <c r="X240" t="s">
        <v>63</v>
      </c>
      <c r="Z240" t="s">
        <v>63</v>
      </c>
      <c r="AA240" t="s">
        <v>63</v>
      </c>
      <c r="AB240" t="s">
        <v>63</v>
      </c>
      <c r="AC240" t="s">
        <v>63</v>
      </c>
      <c r="AD240" t="s">
        <v>63</v>
      </c>
      <c r="AE240">
        <v>114.5</v>
      </c>
      <c r="AF240">
        <v>10</v>
      </c>
      <c r="AG240">
        <v>91.67</v>
      </c>
      <c r="AH240">
        <v>91.67</v>
      </c>
      <c r="AI240">
        <v>91.67</v>
      </c>
      <c r="AJ240">
        <v>91.67</v>
      </c>
      <c r="AT240">
        <v>63.61</v>
      </c>
      <c r="AU240">
        <v>0</v>
      </c>
      <c r="AV240">
        <v>63.61</v>
      </c>
      <c r="AY240">
        <v>0</v>
      </c>
      <c r="AZ240">
        <v>0</v>
      </c>
      <c r="BA240">
        <v>91.67</v>
      </c>
      <c r="BB240">
        <v>72.959999999999994</v>
      </c>
      <c r="BC240">
        <v>27.5</v>
      </c>
      <c r="BD240">
        <v>65.67</v>
      </c>
      <c r="BE240">
        <f t="shared" si="7"/>
        <v>114.5</v>
      </c>
      <c r="BF240">
        <f t="shared" si="8"/>
        <v>75.666666666666657</v>
      </c>
      <c r="BG240" t="s">
        <v>758</v>
      </c>
    </row>
    <row r="241" spans="1:59" x14ac:dyDescent="0.3">
      <c r="A241" t="s">
        <v>398</v>
      </c>
      <c r="B241">
        <v>128094</v>
      </c>
      <c r="C241">
        <v>24339864</v>
      </c>
      <c r="D241" t="s">
        <v>399</v>
      </c>
      <c r="E241" t="s">
        <v>61</v>
      </c>
      <c r="F241" t="s">
        <v>69</v>
      </c>
      <c r="G241">
        <v>6</v>
      </c>
      <c r="H241">
        <v>7.25</v>
      </c>
      <c r="I241">
        <v>10</v>
      </c>
      <c r="J241" t="s">
        <v>63</v>
      </c>
      <c r="L241" t="s">
        <v>63</v>
      </c>
      <c r="M241" t="s">
        <v>63</v>
      </c>
      <c r="N241" t="s">
        <v>63</v>
      </c>
      <c r="O241" t="s">
        <v>63</v>
      </c>
      <c r="Q241" t="s">
        <v>63</v>
      </c>
      <c r="R241" t="s">
        <v>63</v>
      </c>
      <c r="S241" t="s">
        <v>63</v>
      </c>
      <c r="T241" t="s">
        <v>63</v>
      </c>
      <c r="V241" t="s">
        <v>63</v>
      </c>
      <c r="W241" t="s">
        <v>63</v>
      </c>
      <c r="X241" t="s">
        <v>63</v>
      </c>
      <c r="Y241" t="s">
        <v>63</v>
      </c>
      <c r="AA241" t="s">
        <v>63</v>
      </c>
      <c r="AB241" t="s">
        <v>63</v>
      </c>
      <c r="AC241" t="s">
        <v>63</v>
      </c>
      <c r="AD241" t="s">
        <v>63</v>
      </c>
      <c r="AE241">
        <v>127</v>
      </c>
      <c r="AF241">
        <v>10</v>
      </c>
      <c r="AG241">
        <v>77.5</v>
      </c>
      <c r="AH241">
        <v>77.5</v>
      </c>
      <c r="AI241">
        <v>77.5</v>
      </c>
      <c r="AJ241">
        <v>77.5</v>
      </c>
      <c r="AT241">
        <v>70.56</v>
      </c>
      <c r="AU241">
        <v>0</v>
      </c>
      <c r="AV241">
        <v>70.56</v>
      </c>
      <c r="AY241">
        <v>0</v>
      </c>
      <c r="AZ241">
        <v>0</v>
      </c>
      <c r="BA241">
        <v>77.5</v>
      </c>
      <c r="BB241">
        <v>72.87</v>
      </c>
      <c r="BC241">
        <v>23.25</v>
      </c>
      <c r="BD241">
        <v>65.58</v>
      </c>
      <c r="BE241">
        <f t="shared" si="7"/>
        <v>127</v>
      </c>
      <c r="BF241">
        <f t="shared" si="8"/>
        <v>75.583333333333343</v>
      </c>
      <c r="BG241" t="s">
        <v>758</v>
      </c>
    </row>
    <row r="242" spans="1:59" x14ac:dyDescent="0.3">
      <c r="A242" t="s">
        <v>214</v>
      </c>
      <c r="B242">
        <v>123053</v>
      </c>
      <c r="C242">
        <v>24274907</v>
      </c>
      <c r="D242" t="s">
        <v>215</v>
      </c>
      <c r="E242" t="s">
        <v>61</v>
      </c>
      <c r="F242" t="s">
        <v>66</v>
      </c>
      <c r="G242">
        <v>10</v>
      </c>
      <c r="H242">
        <v>9</v>
      </c>
      <c r="I242">
        <v>10</v>
      </c>
      <c r="K242" t="s">
        <v>63</v>
      </c>
      <c r="L242" t="s">
        <v>63</v>
      </c>
      <c r="M242" t="s">
        <v>63</v>
      </c>
      <c r="N242" t="s">
        <v>63</v>
      </c>
      <c r="P242" t="s">
        <v>63</v>
      </c>
      <c r="Q242" t="s">
        <v>63</v>
      </c>
      <c r="R242" t="s">
        <v>63</v>
      </c>
      <c r="S242" t="s">
        <v>63</v>
      </c>
      <c r="U242" t="s">
        <v>63</v>
      </c>
      <c r="V242" t="s">
        <v>63</v>
      </c>
      <c r="W242" t="s">
        <v>63</v>
      </c>
      <c r="X242" t="s">
        <v>63</v>
      </c>
      <c r="Z242" t="s">
        <v>63</v>
      </c>
      <c r="AA242" t="s">
        <v>63</v>
      </c>
      <c r="AB242" t="s">
        <v>63</v>
      </c>
      <c r="AC242" t="s">
        <v>63</v>
      </c>
      <c r="AD242" t="s">
        <v>63</v>
      </c>
      <c r="AE242">
        <v>109.5</v>
      </c>
      <c r="AF242">
        <v>10</v>
      </c>
      <c r="AG242">
        <v>96.67</v>
      </c>
      <c r="AH242">
        <v>96.67</v>
      </c>
      <c r="AI242">
        <v>96.67</v>
      </c>
      <c r="AJ242">
        <v>96.67</v>
      </c>
      <c r="AT242">
        <v>60.83</v>
      </c>
      <c r="AU242">
        <v>0</v>
      </c>
      <c r="AV242">
        <v>60.83</v>
      </c>
      <c r="AY242">
        <v>0</v>
      </c>
      <c r="AZ242">
        <v>0</v>
      </c>
      <c r="BA242">
        <v>96.67</v>
      </c>
      <c r="BB242">
        <v>72.78</v>
      </c>
      <c r="BC242">
        <v>29</v>
      </c>
      <c r="BD242">
        <v>65.5</v>
      </c>
      <c r="BE242">
        <f t="shared" si="7"/>
        <v>109.5</v>
      </c>
      <c r="BF242">
        <f t="shared" si="8"/>
        <v>75.5</v>
      </c>
      <c r="BG242" t="s">
        <v>758</v>
      </c>
    </row>
    <row r="243" spans="1:59" x14ac:dyDescent="0.3">
      <c r="A243" t="s">
        <v>472</v>
      </c>
      <c r="B243">
        <v>131333</v>
      </c>
      <c r="C243">
        <v>24362253</v>
      </c>
      <c r="D243" t="s">
        <v>473</v>
      </c>
      <c r="E243" t="s">
        <v>61</v>
      </c>
      <c r="F243" t="s">
        <v>72</v>
      </c>
      <c r="G243">
        <v>6</v>
      </c>
      <c r="H243">
        <v>10</v>
      </c>
      <c r="I243">
        <v>9</v>
      </c>
      <c r="J243" t="s">
        <v>63</v>
      </c>
      <c r="K243" t="s">
        <v>63</v>
      </c>
      <c r="M243" t="s">
        <v>63</v>
      </c>
      <c r="N243" t="s">
        <v>63</v>
      </c>
      <c r="O243" t="s">
        <v>63</v>
      </c>
      <c r="P243" t="s">
        <v>63</v>
      </c>
      <c r="R243" t="s">
        <v>63</v>
      </c>
      <c r="S243" t="s">
        <v>63</v>
      </c>
      <c r="T243" t="s">
        <v>63</v>
      </c>
      <c r="U243" t="s">
        <v>63</v>
      </c>
      <c r="W243" t="s">
        <v>63</v>
      </c>
      <c r="X243" t="s">
        <v>63</v>
      </c>
      <c r="Y243" t="s">
        <v>63</v>
      </c>
      <c r="Z243" t="s">
        <v>63</v>
      </c>
      <c r="AB243" t="s">
        <v>63</v>
      </c>
      <c r="AC243" t="s">
        <v>63</v>
      </c>
      <c r="AD243" t="s">
        <v>63</v>
      </c>
      <c r="AE243">
        <v>121.5</v>
      </c>
      <c r="AF243">
        <v>10</v>
      </c>
      <c r="AG243">
        <v>83.33</v>
      </c>
      <c r="AH243">
        <v>83.33</v>
      </c>
      <c r="AI243">
        <v>83.33</v>
      </c>
      <c r="AJ243">
        <v>83.33</v>
      </c>
      <c r="AT243">
        <v>67.5</v>
      </c>
      <c r="AU243">
        <v>0</v>
      </c>
      <c r="AV243">
        <v>67.5</v>
      </c>
      <c r="AY243">
        <v>0</v>
      </c>
      <c r="AZ243">
        <v>0</v>
      </c>
      <c r="BA243">
        <v>83.33</v>
      </c>
      <c r="BB243">
        <v>72.78</v>
      </c>
      <c r="BC243">
        <v>25</v>
      </c>
      <c r="BD243">
        <v>65.5</v>
      </c>
      <c r="BE243">
        <f t="shared" si="7"/>
        <v>121.5</v>
      </c>
      <c r="BF243">
        <f t="shared" si="8"/>
        <v>75.5</v>
      </c>
      <c r="BG243" t="s">
        <v>758</v>
      </c>
    </row>
    <row r="244" spans="1:59" x14ac:dyDescent="0.3">
      <c r="A244" t="s">
        <v>288</v>
      </c>
      <c r="B244">
        <v>132920</v>
      </c>
      <c r="C244">
        <v>24374425</v>
      </c>
      <c r="D244" t="s">
        <v>289</v>
      </c>
      <c r="E244" t="s">
        <v>61</v>
      </c>
      <c r="F244" t="s">
        <v>72</v>
      </c>
      <c r="G244">
        <v>6.25</v>
      </c>
      <c r="H244">
        <v>10</v>
      </c>
      <c r="I244">
        <v>10</v>
      </c>
      <c r="J244" t="s">
        <v>63</v>
      </c>
      <c r="K244" t="s">
        <v>63</v>
      </c>
      <c r="M244" t="s">
        <v>63</v>
      </c>
      <c r="N244" t="s">
        <v>63</v>
      </c>
      <c r="O244" t="s">
        <v>63</v>
      </c>
      <c r="P244" t="s">
        <v>63</v>
      </c>
      <c r="R244" t="s">
        <v>63</v>
      </c>
      <c r="S244" t="s">
        <v>63</v>
      </c>
      <c r="T244" t="s">
        <v>63</v>
      </c>
      <c r="U244" t="s">
        <v>63</v>
      </c>
      <c r="W244" t="s">
        <v>63</v>
      </c>
      <c r="X244" t="s">
        <v>63</v>
      </c>
      <c r="Y244" t="s">
        <v>63</v>
      </c>
      <c r="Z244" t="s">
        <v>63</v>
      </c>
      <c r="AB244" t="s">
        <v>63</v>
      </c>
      <c r="AC244" t="s">
        <v>63</v>
      </c>
      <c r="AD244" t="s">
        <v>63</v>
      </c>
      <c r="AE244">
        <v>117</v>
      </c>
      <c r="AF244">
        <v>10</v>
      </c>
      <c r="AG244">
        <v>87.5</v>
      </c>
      <c r="AH244">
        <v>87.5</v>
      </c>
      <c r="AI244">
        <v>87.5</v>
      </c>
      <c r="AJ244">
        <v>87.5</v>
      </c>
      <c r="AT244">
        <v>65</v>
      </c>
      <c r="AU244">
        <v>0</v>
      </c>
      <c r="AV244">
        <v>65</v>
      </c>
      <c r="AY244">
        <v>0</v>
      </c>
      <c r="AZ244">
        <v>0</v>
      </c>
      <c r="BA244">
        <v>87.5</v>
      </c>
      <c r="BB244">
        <v>72.5</v>
      </c>
      <c r="BC244">
        <v>26.25</v>
      </c>
      <c r="BD244">
        <v>65.25</v>
      </c>
      <c r="BE244">
        <f t="shared" si="7"/>
        <v>117</v>
      </c>
      <c r="BF244">
        <f t="shared" si="8"/>
        <v>75.25</v>
      </c>
      <c r="BG244" t="s">
        <v>758</v>
      </c>
    </row>
    <row r="245" spans="1:59" x14ac:dyDescent="0.3">
      <c r="A245" t="s">
        <v>574</v>
      </c>
      <c r="B245">
        <v>131325</v>
      </c>
      <c r="C245">
        <v>24362287</v>
      </c>
      <c r="D245" t="s">
        <v>575</v>
      </c>
      <c r="E245" t="s">
        <v>61</v>
      </c>
      <c r="F245" t="s">
        <v>69</v>
      </c>
      <c r="G245">
        <v>8.25</v>
      </c>
      <c r="H245">
        <v>8.5</v>
      </c>
      <c r="I245">
        <v>9.5</v>
      </c>
      <c r="J245" t="s">
        <v>63</v>
      </c>
      <c r="L245" t="s">
        <v>63</v>
      </c>
      <c r="M245" t="s">
        <v>63</v>
      </c>
      <c r="N245" t="s">
        <v>63</v>
      </c>
      <c r="O245" t="s">
        <v>63</v>
      </c>
      <c r="Q245" t="s">
        <v>63</v>
      </c>
      <c r="R245" t="s">
        <v>63</v>
      </c>
      <c r="S245" t="s">
        <v>63</v>
      </c>
      <c r="T245" t="s">
        <v>63</v>
      </c>
      <c r="V245" t="s">
        <v>63</v>
      </c>
      <c r="W245" t="s">
        <v>63</v>
      </c>
      <c r="X245" t="s">
        <v>63</v>
      </c>
      <c r="Y245" t="s">
        <v>63</v>
      </c>
      <c r="AA245" t="s">
        <v>63</v>
      </c>
      <c r="AB245" t="s">
        <v>63</v>
      </c>
      <c r="AC245" t="s">
        <v>63</v>
      </c>
      <c r="AD245" t="s">
        <v>63</v>
      </c>
      <c r="AE245">
        <v>117</v>
      </c>
      <c r="AF245">
        <v>10</v>
      </c>
      <c r="AG245">
        <v>87.5</v>
      </c>
      <c r="AH245">
        <v>87.5</v>
      </c>
      <c r="AI245">
        <v>87.5</v>
      </c>
      <c r="AJ245">
        <v>87.5</v>
      </c>
      <c r="AT245">
        <v>65</v>
      </c>
      <c r="AU245">
        <v>0</v>
      </c>
      <c r="AV245">
        <v>65</v>
      </c>
      <c r="AY245">
        <v>0</v>
      </c>
      <c r="AZ245">
        <v>0</v>
      </c>
      <c r="BA245">
        <v>87.5</v>
      </c>
      <c r="BB245">
        <v>72.5</v>
      </c>
      <c r="BC245">
        <v>26.25</v>
      </c>
      <c r="BD245">
        <v>65.25</v>
      </c>
      <c r="BE245">
        <f t="shared" si="7"/>
        <v>117</v>
      </c>
      <c r="BF245">
        <f t="shared" si="8"/>
        <v>75.25</v>
      </c>
      <c r="BG245" t="s">
        <v>758</v>
      </c>
    </row>
    <row r="246" spans="1:59" x14ac:dyDescent="0.3">
      <c r="A246" t="s">
        <v>222</v>
      </c>
      <c r="B246">
        <v>129553</v>
      </c>
      <c r="C246">
        <v>24358037</v>
      </c>
      <c r="D246" t="s">
        <v>223</v>
      </c>
      <c r="E246" t="s">
        <v>61</v>
      </c>
      <c r="F246" t="s">
        <v>62</v>
      </c>
      <c r="G246">
        <v>7</v>
      </c>
      <c r="H246">
        <v>10</v>
      </c>
      <c r="I246">
        <v>8.5</v>
      </c>
      <c r="J246" t="s">
        <v>63</v>
      </c>
      <c r="K246" t="s">
        <v>63</v>
      </c>
      <c r="L246" t="s">
        <v>63</v>
      </c>
      <c r="M246" t="s">
        <v>63</v>
      </c>
      <c r="O246" t="s">
        <v>63</v>
      </c>
      <c r="P246" t="s">
        <v>63</v>
      </c>
      <c r="Q246" t="s">
        <v>63</v>
      </c>
      <c r="R246" t="s">
        <v>63</v>
      </c>
      <c r="T246" t="s">
        <v>63</v>
      </c>
      <c r="U246" t="s">
        <v>63</v>
      </c>
      <c r="V246" t="s">
        <v>63</v>
      </c>
      <c r="W246" t="s">
        <v>63</v>
      </c>
      <c r="Y246" t="s">
        <v>63</v>
      </c>
      <c r="Z246" t="s">
        <v>63</v>
      </c>
      <c r="AA246" t="s">
        <v>63</v>
      </c>
      <c r="AB246" t="s">
        <v>63</v>
      </c>
      <c r="AD246" t="s">
        <v>63</v>
      </c>
      <c r="AE246">
        <v>119</v>
      </c>
      <c r="AF246">
        <v>10</v>
      </c>
      <c r="AG246">
        <v>85</v>
      </c>
      <c r="AH246">
        <v>85</v>
      </c>
      <c r="AI246">
        <v>85</v>
      </c>
      <c r="AJ246">
        <v>85</v>
      </c>
      <c r="AT246">
        <v>66.11</v>
      </c>
      <c r="AU246">
        <v>0</v>
      </c>
      <c r="AV246">
        <v>66.11</v>
      </c>
      <c r="AY246">
        <v>0</v>
      </c>
      <c r="AZ246">
        <v>0</v>
      </c>
      <c r="BA246">
        <v>85</v>
      </c>
      <c r="BB246">
        <v>72.41</v>
      </c>
      <c r="BC246">
        <v>25.5</v>
      </c>
      <c r="BD246">
        <v>65.17</v>
      </c>
      <c r="BE246">
        <f t="shared" si="7"/>
        <v>119</v>
      </c>
      <c r="BF246">
        <f t="shared" si="8"/>
        <v>75.166666666666657</v>
      </c>
      <c r="BG246" t="s">
        <v>758</v>
      </c>
    </row>
    <row r="247" spans="1:59" x14ac:dyDescent="0.3">
      <c r="A247" t="s">
        <v>396</v>
      </c>
      <c r="B247">
        <v>127136</v>
      </c>
      <c r="C247">
        <v>24327046</v>
      </c>
      <c r="D247" t="s">
        <v>397</v>
      </c>
      <c r="E247" t="s">
        <v>61</v>
      </c>
      <c r="F247" t="s">
        <v>77</v>
      </c>
      <c r="G247">
        <v>7.5</v>
      </c>
      <c r="H247">
        <v>10</v>
      </c>
      <c r="I247">
        <v>10</v>
      </c>
      <c r="J247" t="s">
        <v>63</v>
      </c>
      <c r="K247" t="s">
        <v>63</v>
      </c>
      <c r="L247" t="s">
        <v>63</v>
      </c>
      <c r="N247" t="s">
        <v>63</v>
      </c>
      <c r="O247" t="s">
        <v>63</v>
      </c>
      <c r="P247" t="s">
        <v>63</v>
      </c>
      <c r="Q247" t="s">
        <v>63</v>
      </c>
      <c r="S247" t="s">
        <v>63</v>
      </c>
      <c r="T247" t="s">
        <v>63</v>
      </c>
      <c r="U247" t="s">
        <v>63</v>
      </c>
      <c r="V247" t="s">
        <v>63</v>
      </c>
      <c r="X247" t="s">
        <v>63</v>
      </c>
      <c r="Y247" t="s">
        <v>63</v>
      </c>
      <c r="Z247" t="s">
        <v>63</v>
      </c>
      <c r="AA247" t="s">
        <v>63</v>
      </c>
      <c r="AC247" t="s">
        <v>63</v>
      </c>
      <c r="AD247" t="s">
        <v>63</v>
      </c>
      <c r="AE247">
        <v>113</v>
      </c>
      <c r="AF247">
        <v>10</v>
      </c>
      <c r="AG247">
        <v>91.67</v>
      </c>
      <c r="AH247">
        <v>91.67</v>
      </c>
      <c r="AI247">
        <v>91.67</v>
      </c>
      <c r="AJ247">
        <v>91.67</v>
      </c>
      <c r="AT247">
        <v>62.78</v>
      </c>
      <c r="AU247">
        <v>0</v>
      </c>
      <c r="AV247">
        <v>62.78</v>
      </c>
      <c r="AY247">
        <v>0</v>
      </c>
      <c r="AZ247">
        <v>0</v>
      </c>
      <c r="BA247">
        <v>91.67</v>
      </c>
      <c r="BB247">
        <v>72.41</v>
      </c>
      <c r="BC247">
        <v>27.5</v>
      </c>
      <c r="BD247">
        <v>65.17</v>
      </c>
      <c r="BE247">
        <f t="shared" si="7"/>
        <v>113</v>
      </c>
      <c r="BF247">
        <f t="shared" si="8"/>
        <v>75.166666666666657</v>
      </c>
      <c r="BG247" t="s">
        <v>758</v>
      </c>
    </row>
    <row r="248" spans="1:59" x14ac:dyDescent="0.3">
      <c r="A248" t="s">
        <v>292</v>
      </c>
      <c r="B248">
        <v>123400</v>
      </c>
      <c r="C248">
        <v>24275961</v>
      </c>
      <c r="D248" t="s">
        <v>293</v>
      </c>
      <c r="E248" t="s">
        <v>61</v>
      </c>
      <c r="F248" t="s">
        <v>66</v>
      </c>
      <c r="G248">
        <v>9</v>
      </c>
      <c r="H248">
        <v>10</v>
      </c>
      <c r="I248">
        <v>9.5</v>
      </c>
      <c r="K248" t="s">
        <v>63</v>
      </c>
      <c r="L248" t="s">
        <v>63</v>
      </c>
      <c r="M248" t="s">
        <v>63</v>
      </c>
      <c r="N248" t="s">
        <v>63</v>
      </c>
      <c r="P248" t="s">
        <v>63</v>
      </c>
      <c r="Q248" t="s">
        <v>63</v>
      </c>
      <c r="R248" t="s">
        <v>63</v>
      </c>
      <c r="S248" t="s">
        <v>63</v>
      </c>
      <c r="U248" t="s">
        <v>63</v>
      </c>
      <c r="V248" t="s">
        <v>63</v>
      </c>
      <c r="W248" t="s">
        <v>63</v>
      </c>
      <c r="X248" t="s">
        <v>63</v>
      </c>
      <c r="Z248" t="s">
        <v>63</v>
      </c>
      <c r="AA248" t="s">
        <v>63</v>
      </c>
      <c r="AB248" t="s">
        <v>63</v>
      </c>
      <c r="AC248" t="s">
        <v>63</v>
      </c>
      <c r="AD248" t="s">
        <v>63</v>
      </c>
      <c r="AE248">
        <v>109.5</v>
      </c>
      <c r="AF248">
        <v>10</v>
      </c>
      <c r="AG248">
        <v>95</v>
      </c>
      <c r="AH248">
        <v>95</v>
      </c>
      <c r="AI248">
        <v>95</v>
      </c>
      <c r="AJ248">
        <v>95</v>
      </c>
      <c r="AT248">
        <v>60.83</v>
      </c>
      <c r="AU248">
        <v>0</v>
      </c>
      <c r="AV248">
        <v>60.83</v>
      </c>
      <c r="AY248">
        <v>0</v>
      </c>
      <c r="AZ248">
        <v>0</v>
      </c>
      <c r="BA248">
        <v>95</v>
      </c>
      <c r="BB248">
        <v>72.22</v>
      </c>
      <c r="BC248">
        <v>28.5</v>
      </c>
      <c r="BD248">
        <v>65</v>
      </c>
      <c r="BE248">
        <f t="shared" si="7"/>
        <v>109.5</v>
      </c>
      <c r="BF248">
        <f t="shared" si="8"/>
        <v>75</v>
      </c>
      <c r="BG248" t="s">
        <v>758</v>
      </c>
    </row>
    <row r="249" spans="1:59" x14ac:dyDescent="0.3">
      <c r="A249" t="s">
        <v>314</v>
      </c>
      <c r="B249">
        <v>129980</v>
      </c>
      <c r="C249">
        <v>24360451</v>
      </c>
      <c r="D249" t="s">
        <v>315</v>
      </c>
      <c r="E249" t="s">
        <v>61</v>
      </c>
      <c r="F249" t="s">
        <v>69</v>
      </c>
      <c r="G249">
        <v>10</v>
      </c>
      <c r="H249">
        <v>10</v>
      </c>
      <c r="I249">
        <v>10</v>
      </c>
      <c r="J249" t="s">
        <v>63</v>
      </c>
      <c r="L249" t="s">
        <v>63</v>
      </c>
      <c r="M249" t="s">
        <v>63</v>
      </c>
      <c r="N249" t="s">
        <v>63</v>
      </c>
      <c r="O249" t="s">
        <v>63</v>
      </c>
      <c r="Q249" t="s">
        <v>63</v>
      </c>
      <c r="R249" t="s">
        <v>63</v>
      </c>
      <c r="S249" t="s">
        <v>63</v>
      </c>
      <c r="T249" t="s">
        <v>63</v>
      </c>
      <c r="V249" t="s">
        <v>63</v>
      </c>
      <c r="W249" t="s">
        <v>63</v>
      </c>
      <c r="X249" t="s">
        <v>63</v>
      </c>
      <c r="Y249" t="s">
        <v>63</v>
      </c>
      <c r="AA249" t="s">
        <v>63</v>
      </c>
      <c r="AB249" t="s">
        <v>63</v>
      </c>
      <c r="AC249" t="s">
        <v>63</v>
      </c>
      <c r="AD249" t="s">
        <v>63</v>
      </c>
      <c r="AE249">
        <v>105</v>
      </c>
      <c r="AF249">
        <v>10</v>
      </c>
      <c r="AG249">
        <v>100</v>
      </c>
      <c r="AH249">
        <v>100</v>
      </c>
      <c r="AI249">
        <v>100</v>
      </c>
      <c r="AJ249">
        <v>100</v>
      </c>
      <c r="AT249">
        <v>58.33</v>
      </c>
      <c r="AU249">
        <v>0</v>
      </c>
      <c r="AV249">
        <v>58.33</v>
      </c>
      <c r="AY249">
        <v>0</v>
      </c>
      <c r="AZ249">
        <v>0</v>
      </c>
      <c r="BA249">
        <v>100</v>
      </c>
      <c r="BB249">
        <v>72.22</v>
      </c>
      <c r="BC249">
        <v>30</v>
      </c>
      <c r="BD249">
        <v>65</v>
      </c>
      <c r="BE249">
        <f t="shared" si="7"/>
        <v>105</v>
      </c>
      <c r="BF249">
        <f t="shared" si="8"/>
        <v>75</v>
      </c>
      <c r="BG249" t="s">
        <v>758</v>
      </c>
    </row>
    <row r="250" spans="1:59" x14ac:dyDescent="0.3">
      <c r="A250" t="s">
        <v>332</v>
      </c>
      <c r="B250">
        <v>128341</v>
      </c>
      <c r="C250">
        <v>24342363</v>
      </c>
      <c r="D250" t="s">
        <v>333</v>
      </c>
      <c r="E250" t="s">
        <v>61</v>
      </c>
      <c r="F250" t="s">
        <v>62</v>
      </c>
      <c r="G250">
        <v>7.5</v>
      </c>
      <c r="H250">
        <v>9</v>
      </c>
      <c r="I250">
        <v>8.5</v>
      </c>
      <c r="J250" t="s">
        <v>63</v>
      </c>
      <c r="K250" t="s">
        <v>63</v>
      </c>
      <c r="L250" t="s">
        <v>63</v>
      </c>
      <c r="M250" t="s">
        <v>63</v>
      </c>
      <c r="O250" t="s">
        <v>63</v>
      </c>
      <c r="P250" t="s">
        <v>63</v>
      </c>
      <c r="Q250" t="s">
        <v>63</v>
      </c>
      <c r="R250" t="s">
        <v>63</v>
      </c>
      <c r="T250" t="s">
        <v>63</v>
      </c>
      <c r="U250" t="s">
        <v>63</v>
      </c>
      <c r="V250" t="s">
        <v>63</v>
      </c>
      <c r="W250" t="s">
        <v>63</v>
      </c>
      <c r="Y250" t="s">
        <v>63</v>
      </c>
      <c r="Z250" t="s">
        <v>63</v>
      </c>
      <c r="AA250" t="s">
        <v>63</v>
      </c>
      <c r="AB250" t="s">
        <v>63</v>
      </c>
      <c r="AD250" t="s">
        <v>63</v>
      </c>
      <c r="AE250">
        <v>120</v>
      </c>
      <c r="AF250">
        <v>10</v>
      </c>
      <c r="AG250">
        <v>83.33</v>
      </c>
      <c r="AH250">
        <v>83.33</v>
      </c>
      <c r="AI250">
        <v>83.33</v>
      </c>
      <c r="AJ250">
        <v>83.33</v>
      </c>
      <c r="AT250">
        <v>66.67</v>
      </c>
      <c r="AU250">
        <v>0</v>
      </c>
      <c r="AV250">
        <v>66.67</v>
      </c>
      <c r="AY250">
        <v>0</v>
      </c>
      <c r="AZ250">
        <v>0</v>
      </c>
      <c r="BA250">
        <v>83.33</v>
      </c>
      <c r="BB250">
        <v>72.22</v>
      </c>
      <c r="BC250">
        <v>25</v>
      </c>
      <c r="BD250">
        <v>65</v>
      </c>
      <c r="BE250">
        <f t="shared" si="7"/>
        <v>120</v>
      </c>
      <c r="BF250">
        <f t="shared" si="8"/>
        <v>75</v>
      </c>
      <c r="BG250" t="s">
        <v>758</v>
      </c>
    </row>
    <row r="251" spans="1:59" x14ac:dyDescent="0.3">
      <c r="A251" t="s">
        <v>404</v>
      </c>
      <c r="B251">
        <v>130041</v>
      </c>
      <c r="C251">
        <v>24361233</v>
      </c>
      <c r="D251" t="s">
        <v>405</v>
      </c>
      <c r="E251" t="s">
        <v>61</v>
      </c>
      <c r="F251" t="s">
        <v>72</v>
      </c>
      <c r="G251">
        <v>8.5</v>
      </c>
      <c r="H251">
        <v>9.5</v>
      </c>
      <c r="I251">
        <v>8.5</v>
      </c>
      <c r="J251" t="s">
        <v>63</v>
      </c>
      <c r="K251" t="s">
        <v>63</v>
      </c>
      <c r="M251" t="s">
        <v>63</v>
      </c>
      <c r="N251" t="s">
        <v>63</v>
      </c>
      <c r="O251" t="s">
        <v>63</v>
      </c>
      <c r="P251" t="s">
        <v>63</v>
      </c>
      <c r="R251" t="s">
        <v>63</v>
      </c>
      <c r="S251" t="s">
        <v>63</v>
      </c>
      <c r="T251" t="s">
        <v>63</v>
      </c>
      <c r="U251" t="s">
        <v>63</v>
      </c>
      <c r="W251" t="s">
        <v>63</v>
      </c>
      <c r="X251" t="s">
        <v>63</v>
      </c>
      <c r="Y251" t="s">
        <v>63</v>
      </c>
      <c r="Z251" t="s">
        <v>63</v>
      </c>
      <c r="AB251" t="s">
        <v>63</v>
      </c>
      <c r="AC251" t="s">
        <v>63</v>
      </c>
      <c r="AD251" t="s">
        <v>63</v>
      </c>
      <c r="AE251">
        <v>115</v>
      </c>
      <c r="AF251">
        <v>10</v>
      </c>
      <c r="AG251">
        <v>88.33</v>
      </c>
      <c r="AH251">
        <v>88.33</v>
      </c>
      <c r="AI251">
        <v>88.33</v>
      </c>
      <c r="AJ251">
        <v>88.33</v>
      </c>
      <c r="AT251">
        <v>63.89</v>
      </c>
      <c r="AU251">
        <v>0</v>
      </c>
      <c r="AV251">
        <v>63.89</v>
      </c>
      <c r="AY251">
        <v>0</v>
      </c>
      <c r="AZ251">
        <v>0</v>
      </c>
      <c r="BA251">
        <v>88.33</v>
      </c>
      <c r="BB251">
        <v>72.040000000000006</v>
      </c>
      <c r="BC251">
        <v>26.5</v>
      </c>
      <c r="BD251">
        <v>64.83</v>
      </c>
      <c r="BE251">
        <f t="shared" si="7"/>
        <v>115</v>
      </c>
      <c r="BF251">
        <f t="shared" si="8"/>
        <v>74.833333333333343</v>
      </c>
      <c r="BG251" t="s">
        <v>758</v>
      </c>
    </row>
    <row r="252" spans="1:59" x14ac:dyDescent="0.3">
      <c r="A252" t="s">
        <v>568</v>
      </c>
      <c r="B252">
        <v>127718</v>
      </c>
      <c r="C252">
        <v>24335444</v>
      </c>
      <c r="D252" t="s">
        <v>569</v>
      </c>
      <c r="E252" t="s">
        <v>61</v>
      </c>
      <c r="F252" t="s">
        <v>69</v>
      </c>
      <c r="G252">
        <v>6.25</v>
      </c>
      <c r="H252">
        <v>8</v>
      </c>
      <c r="I252">
        <v>8</v>
      </c>
      <c r="J252" t="s">
        <v>63</v>
      </c>
      <c r="L252" t="s">
        <v>63</v>
      </c>
      <c r="M252" t="s">
        <v>63</v>
      </c>
      <c r="N252" t="s">
        <v>63</v>
      </c>
      <c r="O252" t="s">
        <v>63</v>
      </c>
      <c r="Q252" t="s">
        <v>63</v>
      </c>
      <c r="R252" t="s">
        <v>63</v>
      </c>
      <c r="S252" t="s">
        <v>63</v>
      </c>
      <c r="T252" t="s">
        <v>63</v>
      </c>
      <c r="V252" t="s">
        <v>63</v>
      </c>
      <c r="W252" t="s">
        <v>63</v>
      </c>
      <c r="X252" t="s">
        <v>63</v>
      </c>
      <c r="Y252" t="s">
        <v>63</v>
      </c>
      <c r="AA252" t="s">
        <v>63</v>
      </c>
      <c r="AB252" t="s">
        <v>63</v>
      </c>
      <c r="AC252" t="s">
        <v>63</v>
      </c>
      <c r="AD252" t="s">
        <v>63</v>
      </c>
      <c r="AE252">
        <v>127.5</v>
      </c>
      <c r="AF252">
        <v>10</v>
      </c>
      <c r="AG252">
        <v>74.17</v>
      </c>
      <c r="AH252">
        <v>74.17</v>
      </c>
      <c r="AI252">
        <v>74.17</v>
      </c>
      <c r="AJ252">
        <v>74.17</v>
      </c>
      <c r="AT252">
        <v>70.83</v>
      </c>
      <c r="AU252">
        <v>0</v>
      </c>
      <c r="AV252">
        <v>70.83</v>
      </c>
      <c r="AY252">
        <v>0</v>
      </c>
      <c r="AZ252">
        <v>0</v>
      </c>
      <c r="BA252">
        <v>74.17</v>
      </c>
      <c r="BB252">
        <v>71.94</v>
      </c>
      <c r="BC252">
        <v>22.25</v>
      </c>
      <c r="BD252">
        <v>64.75</v>
      </c>
      <c r="BE252">
        <f t="shared" si="7"/>
        <v>127.5</v>
      </c>
      <c r="BF252">
        <f t="shared" si="8"/>
        <v>74.75</v>
      </c>
      <c r="BG252" t="s">
        <v>758</v>
      </c>
    </row>
    <row r="253" spans="1:59" x14ac:dyDescent="0.3">
      <c r="A253" t="s">
        <v>162</v>
      </c>
      <c r="B253">
        <v>122850</v>
      </c>
      <c r="C253">
        <v>24275264</v>
      </c>
      <c r="D253" t="s">
        <v>163</v>
      </c>
      <c r="E253" t="s">
        <v>61</v>
      </c>
      <c r="F253" t="s">
        <v>62</v>
      </c>
      <c r="G253">
        <v>6.5</v>
      </c>
      <c r="H253">
        <v>10</v>
      </c>
      <c r="I253">
        <v>10</v>
      </c>
      <c r="J253" t="s">
        <v>63</v>
      </c>
      <c r="K253" t="s">
        <v>63</v>
      </c>
      <c r="L253" t="s">
        <v>63</v>
      </c>
      <c r="M253" t="s">
        <v>63</v>
      </c>
      <c r="O253" t="s">
        <v>63</v>
      </c>
      <c r="P253" t="s">
        <v>63</v>
      </c>
      <c r="Q253" t="s">
        <v>63</v>
      </c>
      <c r="R253" t="s">
        <v>63</v>
      </c>
      <c r="T253" t="s">
        <v>63</v>
      </c>
      <c r="U253" t="s">
        <v>63</v>
      </c>
      <c r="V253" t="s">
        <v>63</v>
      </c>
      <c r="W253" t="s">
        <v>63</v>
      </c>
      <c r="Y253" t="s">
        <v>63</v>
      </c>
      <c r="Z253" t="s">
        <v>63</v>
      </c>
      <c r="AA253" t="s">
        <v>63</v>
      </c>
      <c r="AB253" t="s">
        <v>63</v>
      </c>
      <c r="AD253" t="s">
        <v>63</v>
      </c>
      <c r="AE253">
        <v>114.5</v>
      </c>
      <c r="AF253">
        <v>10</v>
      </c>
      <c r="AG253">
        <v>88.33</v>
      </c>
      <c r="AH253">
        <v>88.33</v>
      </c>
      <c r="AI253">
        <v>88.33</v>
      </c>
      <c r="AJ253">
        <v>88.33</v>
      </c>
      <c r="AT253">
        <v>63.61</v>
      </c>
      <c r="AU253">
        <v>0</v>
      </c>
      <c r="AV253">
        <v>63.61</v>
      </c>
      <c r="AY253">
        <v>0</v>
      </c>
      <c r="AZ253">
        <v>0</v>
      </c>
      <c r="BA253">
        <v>88.33</v>
      </c>
      <c r="BB253">
        <v>71.849999999999994</v>
      </c>
      <c r="BC253">
        <v>26.5</v>
      </c>
      <c r="BD253">
        <v>64.67</v>
      </c>
      <c r="BE253">
        <f t="shared" si="7"/>
        <v>114.5</v>
      </c>
      <c r="BF253">
        <f t="shared" si="8"/>
        <v>74.666666666666657</v>
      </c>
      <c r="BG253" t="s">
        <v>758</v>
      </c>
    </row>
    <row r="254" spans="1:59" x14ac:dyDescent="0.3">
      <c r="A254" t="s">
        <v>238</v>
      </c>
      <c r="B254">
        <v>128621</v>
      </c>
      <c r="C254">
        <v>24349163</v>
      </c>
      <c r="D254" t="s">
        <v>239</v>
      </c>
      <c r="E254" t="s">
        <v>61</v>
      </c>
      <c r="F254" t="s">
        <v>69</v>
      </c>
      <c r="G254">
        <v>8.5</v>
      </c>
      <c r="H254">
        <v>10</v>
      </c>
      <c r="I254">
        <v>8</v>
      </c>
      <c r="J254" t="s">
        <v>63</v>
      </c>
      <c r="L254" t="s">
        <v>63</v>
      </c>
      <c r="M254" t="s">
        <v>63</v>
      </c>
      <c r="N254" t="s">
        <v>63</v>
      </c>
      <c r="O254" t="s">
        <v>63</v>
      </c>
      <c r="Q254" t="s">
        <v>63</v>
      </c>
      <c r="R254" t="s">
        <v>63</v>
      </c>
      <c r="S254" t="s">
        <v>63</v>
      </c>
      <c r="T254" t="s">
        <v>63</v>
      </c>
      <c r="V254" t="s">
        <v>63</v>
      </c>
      <c r="W254" t="s">
        <v>63</v>
      </c>
      <c r="X254" t="s">
        <v>63</v>
      </c>
      <c r="Y254" t="s">
        <v>63</v>
      </c>
      <c r="AA254" t="s">
        <v>63</v>
      </c>
      <c r="AB254" t="s">
        <v>63</v>
      </c>
      <c r="AC254" t="s">
        <v>63</v>
      </c>
      <c r="AD254" t="s">
        <v>63</v>
      </c>
      <c r="AE254">
        <v>114.5</v>
      </c>
      <c r="AF254">
        <v>10</v>
      </c>
      <c r="AG254">
        <v>88.33</v>
      </c>
      <c r="AH254">
        <v>88.33</v>
      </c>
      <c r="AI254">
        <v>88.33</v>
      </c>
      <c r="AJ254">
        <v>88.33</v>
      </c>
      <c r="AT254">
        <v>63.61</v>
      </c>
      <c r="AU254">
        <v>0</v>
      </c>
      <c r="AV254">
        <v>63.61</v>
      </c>
      <c r="AY254">
        <v>0</v>
      </c>
      <c r="AZ254">
        <v>0</v>
      </c>
      <c r="BA254">
        <v>88.33</v>
      </c>
      <c r="BB254">
        <v>71.849999999999994</v>
      </c>
      <c r="BC254">
        <v>26.5</v>
      </c>
      <c r="BD254">
        <v>64.67</v>
      </c>
      <c r="BE254">
        <f t="shared" si="7"/>
        <v>114.5</v>
      </c>
      <c r="BF254">
        <f t="shared" si="8"/>
        <v>74.666666666666657</v>
      </c>
      <c r="BG254" t="s">
        <v>758</v>
      </c>
    </row>
    <row r="255" spans="1:59" x14ac:dyDescent="0.3">
      <c r="A255" t="s">
        <v>570</v>
      </c>
      <c r="B255">
        <v>128010</v>
      </c>
      <c r="C255">
        <v>24337807</v>
      </c>
      <c r="D255" t="s">
        <v>571</v>
      </c>
      <c r="E255" t="s">
        <v>61</v>
      </c>
      <c r="F255" t="s">
        <v>77</v>
      </c>
      <c r="G255">
        <v>10</v>
      </c>
      <c r="H255">
        <v>10</v>
      </c>
      <c r="I255">
        <v>8.5</v>
      </c>
      <c r="J255" t="s">
        <v>63</v>
      </c>
      <c r="K255" t="s">
        <v>63</v>
      </c>
      <c r="L255" t="s">
        <v>63</v>
      </c>
      <c r="N255" t="s">
        <v>63</v>
      </c>
      <c r="O255" t="s">
        <v>63</v>
      </c>
      <c r="P255" t="s">
        <v>63</v>
      </c>
      <c r="Q255" t="s">
        <v>63</v>
      </c>
      <c r="S255" t="s">
        <v>63</v>
      </c>
      <c r="T255" t="s">
        <v>63</v>
      </c>
      <c r="U255" t="s">
        <v>63</v>
      </c>
      <c r="V255" t="s">
        <v>63</v>
      </c>
      <c r="X255" t="s">
        <v>63</v>
      </c>
      <c r="Y255" t="s">
        <v>63</v>
      </c>
      <c r="Z255" t="s">
        <v>63</v>
      </c>
      <c r="AA255" t="s">
        <v>63</v>
      </c>
      <c r="AC255" t="s">
        <v>63</v>
      </c>
      <c r="AD255" t="s">
        <v>63</v>
      </c>
      <c r="AE255">
        <v>108</v>
      </c>
      <c r="AF255">
        <v>10</v>
      </c>
      <c r="AG255">
        <v>95</v>
      </c>
      <c r="AH255">
        <v>95</v>
      </c>
      <c r="AI255">
        <v>95</v>
      </c>
      <c r="AJ255">
        <v>95</v>
      </c>
      <c r="AT255">
        <v>60</v>
      </c>
      <c r="AU255">
        <v>0</v>
      </c>
      <c r="AV255">
        <v>60</v>
      </c>
      <c r="AY255">
        <v>0</v>
      </c>
      <c r="AZ255">
        <v>0</v>
      </c>
      <c r="BA255">
        <v>95</v>
      </c>
      <c r="BB255">
        <v>71.67</v>
      </c>
      <c r="BC255">
        <v>28.5</v>
      </c>
      <c r="BD255">
        <v>64.5</v>
      </c>
      <c r="BE255">
        <f t="shared" si="7"/>
        <v>108</v>
      </c>
      <c r="BF255">
        <f t="shared" si="8"/>
        <v>74.5</v>
      </c>
      <c r="BG255" t="s">
        <v>758</v>
      </c>
    </row>
    <row r="256" spans="1:59" x14ac:dyDescent="0.3">
      <c r="A256" t="s">
        <v>708</v>
      </c>
      <c r="B256">
        <v>128629</v>
      </c>
      <c r="C256">
        <v>24348908</v>
      </c>
      <c r="D256" t="s">
        <v>709</v>
      </c>
      <c r="E256" t="s">
        <v>61</v>
      </c>
      <c r="F256" t="s">
        <v>72</v>
      </c>
      <c r="G256">
        <v>6</v>
      </c>
      <c r="H256">
        <v>10</v>
      </c>
      <c r="I256">
        <v>9</v>
      </c>
      <c r="J256" t="s">
        <v>63</v>
      </c>
      <c r="K256" t="s">
        <v>63</v>
      </c>
      <c r="M256" t="s">
        <v>63</v>
      </c>
      <c r="N256" t="s">
        <v>63</v>
      </c>
      <c r="O256" t="s">
        <v>63</v>
      </c>
      <c r="P256" t="s">
        <v>63</v>
      </c>
      <c r="R256" t="s">
        <v>63</v>
      </c>
      <c r="S256" t="s">
        <v>63</v>
      </c>
      <c r="T256" t="s">
        <v>63</v>
      </c>
      <c r="U256" t="s">
        <v>63</v>
      </c>
      <c r="W256" t="s">
        <v>63</v>
      </c>
      <c r="X256" t="s">
        <v>63</v>
      </c>
      <c r="Y256" t="s">
        <v>63</v>
      </c>
      <c r="Z256" t="s">
        <v>63</v>
      </c>
      <c r="AB256" t="s">
        <v>63</v>
      </c>
      <c r="AC256" t="s">
        <v>63</v>
      </c>
      <c r="AD256" t="s">
        <v>63</v>
      </c>
      <c r="AE256">
        <v>118.5</v>
      </c>
      <c r="AF256">
        <v>10</v>
      </c>
      <c r="AG256">
        <v>83.33</v>
      </c>
      <c r="AH256">
        <v>83.33</v>
      </c>
      <c r="AI256">
        <v>83.33</v>
      </c>
      <c r="AJ256">
        <v>83.33</v>
      </c>
      <c r="AT256">
        <v>65.83</v>
      </c>
      <c r="AU256">
        <v>0</v>
      </c>
      <c r="AV256">
        <v>65.83</v>
      </c>
      <c r="AY256">
        <v>0</v>
      </c>
      <c r="AZ256">
        <v>0</v>
      </c>
      <c r="BA256">
        <v>83.33</v>
      </c>
      <c r="BB256">
        <v>71.67</v>
      </c>
      <c r="BC256">
        <v>25</v>
      </c>
      <c r="BD256">
        <v>64.5</v>
      </c>
      <c r="BE256">
        <f t="shared" si="7"/>
        <v>118.5</v>
      </c>
      <c r="BF256">
        <f t="shared" si="8"/>
        <v>74.5</v>
      </c>
      <c r="BG256" t="s">
        <v>758</v>
      </c>
    </row>
    <row r="257" spans="1:59" x14ac:dyDescent="0.3">
      <c r="A257" t="s">
        <v>286</v>
      </c>
      <c r="B257">
        <v>127050</v>
      </c>
      <c r="C257">
        <v>24323629</v>
      </c>
      <c r="D257" t="s">
        <v>287</v>
      </c>
      <c r="E257" t="s">
        <v>61</v>
      </c>
      <c r="F257" t="s">
        <v>66</v>
      </c>
      <c r="G257">
        <v>7.75</v>
      </c>
      <c r="H257">
        <v>9</v>
      </c>
      <c r="I257">
        <v>10</v>
      </c>
      <c r="K257" t="s">
        <v>63</v>
      </c>
      <c r="L257" t="s">
        <v>63</v>
      </c>
      <c r="M257" t="s">
        <v>63</v>
      </c>
      <c r="N257" t="s">
        <v>63</v>
      </c>
      <c r="P257" t="s">
        <v>63</v>
      </c>
      <c r="Q257" t="s">
        <v>63</v>
      </c>
      <c r="R257" t="s">
        <v>63</v>
      </c>
      <c r="S257" t="s">
        <v>63</v>
      </c>
      <c r="U257" t="s">
        <v>63</v>
      </c>
      <c r="V257" t="s">
        <v>63</v>
      </c>
      <c r="W257" t="s">
        <v>63</v>
      </c>
      <c r="X257" t="s">
        <v>63</v>
      </c>
      <c r="Z257" t="s">
        <v>63</v>
      </c>
      <c r="AA257" t="s">
        <v>63</v>
      </c>
      <c r="AB257" t="s">
        <v>63</v>
      </c>
      <c r="AC257" t="s">
        <v>63</v>
      </c>
      <c r="AD257" t="s">
        <v>63</v>
      </c>
      <c r="AE257">
        <v>113</v>
      </c>
      <c r="AF257">
        <v>10</v>
      </c>
      <c r="AG257">
        <v>89.17</v>
      </c>
      <c r="AH257">
        <v>89.17</v>
      </c>
      <c r="AI257">
        <v>89.17</v>
      </c>
      <c r="AJ257">
        <v>89.17</v>
      </c>
      <c r="AT257">
        <v>62.78</v>
      </c>
      <c r="AU257">
        <v>0</v>
      </c>
      <c r="AV257">
        <v>62.78</v>
      </c>
      <c r="AY257">
        <v>0</v>
      </c>
      <c r="AZ257">
        <v>0</v>
      </c>
      <c r="BA257">
        <v>89.17</v>
      </c>
      <c r="BB257">
        <v>71.569999999999993</v>
      </c>
      <c r="BC257">
        <v>26.75</v>
      </c>
      <c r="BD257">
        <v>64.42</v>
      </c>
      <c r="BE257">
        <f t="shared" si="7"/>
        <v>113</v>
      </c>
      <c r="BF257">
        <f t="shared" si="8"/>
        <v>74.416666666666657</v>
      </c>
      <c r="BG257" t="s">
        <v>758</v>
      </c>
    </row>
    <row r="258" spans="1:59" x14ac:dyDescent="0.3">
      <c r="A258" t="s">
        <v>354</v>
      </c>
      <c r="B258">
        <v>128330</v>
      </c>
      <c r="C258">
        <v>12165783</v>
      </c>
      <c r="D258" t="s">
        <v>355</v>
      </c>
      <c r="E258" t="s">
        <v>61</v>
      </c>
      <c r="F258" t="s">
        <v>69</v>
      </c>
      <c r="G258">
        <v>7</v>
      </c>
      <c r="H258">
        <v>10</v>
      </c>
      <c r="I258">
        <v>8</v>
      </c>
      <c r="J258" t="s">
        <v>63</v>
      </c>
      <c r="L258" t="s">
        <v>63</v>
      </c>
      <c r="M258" t="s">
        <v>63</v>
      </c>
      <c r="N258" t="s">
        <v>63</v>
      </c>
      <c r="O258" t="s">
        <v>63</v>
      </c>
      <c r="Q258" t="s">
        <v>63</v>
      </c>
      <c r="R258" t="s">
        <v>63</v>
      </c>
      <c r="S258" t="s">
        <v>63</v>
      </c>
      <c r="T258" t="s">
        <v>63</v>
      </c>
      <c r="V258" t="s">
        <v>63</v>
      </c>
      <c r="W258" t="s">
        <v>63</v>
      </c>
      <c r="X258" t="s">
        <v>63</v>
      </c>
      <c r="Y258" t="s">
        <v>63</v>
      </c>
      <c r="AA258" t="s">
        <v>63</v>
      </c>
      <c r="AB258" t="s">
        <v>63</v>
      </c>
      <c r="AC258" t="s">
        <v>63</v>
      </c>
      <c r="AD258" t="s">
        <v>63</v>
      </c>
      <c r="AE258">
        <v>118</v>
      </c>
      <c r="AF258">
        <v>10</v>
      </c>
      <c r="AG258">
        <v>83.33</v>
      </c>
      <c r="AH258">
        <v>83.33</v>
      </c>
      <c r="AI258">
        <v>83.33</v>
      </c>
      <c r="AJ258">
        <v>83.33</v>
      </c>
      <c r="AT258">
        <v>65.56</v>
      </c>
      <c r="AU258">
        <v>0</v>
      </c>
      <c r="AV258">
        <v>65.56</v>
      </c>
      <c r="AY258">
        <v>0</v>
      </c>
      <c r="AZ258">
        <v>0</v>
      </c>
      <c r="BA258">
        <v>83.33</v>
      </c>
      <c r="BB258">
        <v>71.48</v>
      </c>
      <c r="BC258">
        <v>25</v>
      </c>
      <c r="BD258">
        <v>64.33</v>
      </c>
      <c r="BE258">
        <f t="shared" si="7"/>
        <v>118</v>
      </c>
      <c r="BF258">
        <f t="shared" si="8"/>
        <v>74.333333333333343</v>
      </c>
      <c r="BG258" t="s">
        <v>758</v>
      </c>
    </row>
    <row r="259" spans="1:59" x14ac:dyDescent="0.3">
      <c r="A259" t="s">
        <v>322</v>
      </c>
      <c r="B259">
        <v>128282</v>
      </c>
      <c r="C259">
        <v>24342805</v>
      </c>
      <c r="D259" t="s">
        <v>323</v>
      </c>
      <c r="E259" t="s">
        <v>61</v>
      </c>
      <c r="F259" t="s">
        <v>62</v>
      </c>
      <c r="G259">
        <v>8</v>
      </c>
      <c r="H259">
        <v>10</v>
      </c>
      <c r="I259">
        <v>9.5</v>
      </c>
      <c r="J259" t="s">
        <v>63</v>
      </c>
      <c r="K259" t="s">
        <v>63</v>
      </c>
      <c r="L259" t="s">
        <v>63</v>
      </c>
      <c r="M259" t="s">
        <v>63</v>
      </c>
      <c r="O259" t="s">
        <v>63</v>
      </c>
      <c r="P259" t="s">
        <v>63</v>
      </c>
      <c r="Q259" t="s">
        <v>63</v>
      </c>
      <c r="R259" t="s">
        <v>63</v>
      </c>
      <c r="T259" t="s">
        <v>63</v>
      </c>
      <c r="U259" t="s">
        <v>63</v>
      </c>
      <c r="V259" t="s">
        <v>63</v>
      </c>
      <c r="W259" t="s">
        <v>63</v>
      </c>
      <c r="Y259" t="s">
        <v>63</v>
      </c>
      <c r="Z259" t="s">
        <v>63</v>
      </c>
      <c r="AA259" t="s">
        <v>63</v>
      </c>
      <c r="AB259" t="s">
        <v>63</v>
      </c>
      <c r="AD259" t="s">
        <v>63</v>
      </c>
      <c r="AE259">
        <v>110</v>
      </c>
      <c r="AF259">
        <v>10</v>
      </c>
      <c r="AG259">
        <v>91.67</v>
      </c>
      <c r="AH259">
        <v>91.67</v>
      </c>
      <c r="AI259">
        <v>91.67</v>
      </c>
      <c r="AJ259">
        <v>91.67</v>
      </c>
      <c r="AT259">
        <v>61.11</v>
      </c>
      <c r="AU259">
        <v>0</v>
      </c>
      <c r="AV259">
        <v>61.11</v>
      </c>
      <c r="AY259">
        <v>0</v>
      </c>
      <c r="AZ259">
        <v>0</v>
      </c>
      <c r="BA259">
        <v>91.67</v>
      </c>
      <c r="BB259">
        <v>71.3</v>
      </c>
      <c r="BC259">
        <v>27.5</v>
      </c>
      <c r="BD259">
        <v>64.17</v>
      </c>
      <c r="BE259">
        <f t="shared" si="7"/>
        <v>110</v>
      </c>
      <c r="BF259">
        <f t="shared" si="8"/>
        <v>74.166666666666657</v>
      </c>
      <c r="BG259" t="s">
        <v>758</v>
      </c>
    </row>
    <row r="260" spans="1:59" x14ac:dyDescent="0.3">
      <c r="A260" t="s">
        <v>416</v>
      </c>
      <c r="B260">
        <v>134281</v>
      </c>
      <c r="C260">
        <v>24387243</v>
      </c>
      <c r="D260" t="s">
        <v>417</v>
      </c>
      <c r="E260" t="s">
        <v>61</v>
      </c>
      <c r="F260" t="s">
        <v>62</v>
      </c>
      <c r="G260">
        <v>9</v>
      </c>
      <c r="H260">
        <v>10</v>
      </c>
      <c r="I260">
        <v>10</v>
      </c>
      <c r="J260" t="s">
        <v>63</v>
      </c>
      <c r="K260" t="s">
        <v>63</v>
      </c>
      <c r="L260" t="s">
        <v>63</v>
      </c>
      <c r="M260" t="s">
        <v>63</v>
      </c>
      <c r="O260" t="s">
        <v>63</v>
      </c>
      <c r="P260" t="s">
        <v>63</v>
      </c>
      <c r="Q260" t="s">
        <v>63</v>
      </c>
      <c r="R260" t="s">
        <v>63</v>
      </c>
      <c r="T260" t="s">
        <v>63</v>
      </c>
      <c r="U260" t="s">
        <v>63</v>
      </c>
      <c r="V260" t="s">
        <v>63</v>
      </c>
      <c r="W260" t="s">
        <v>63</v>
      </c>
      <c r="Y260" t="s">
        <v>63</v>
      </c>
      <c r="Z260" t="s">
        <v>63</v>
      </c>
      <c r="AA260" t="s">
        <v>63</v>
      </c>
      <c r="AB260" t="s">
        <v>63</v>
      </c>
      <c r="AD260" t="s">
        <v>63</v>
      </c>
      <c r="AE260">
        <v>105.5</v>
      </c>
      <c r="AF260">
        <v>10</v>
      </c>
      <c r="AG260">
        <v>96.67</v>
      </c>
      <c r="AH260">
        <v>96.67</v>
      </c>
      <c r="AI260">
        <v>96.67</v>
      </c>
      <c r="AJ260">
        <v>96.67</v>
      </c>
      <c r="AT260">
        <v>58.61</v>
      </c>
      <c r="AU260">
        <v>0</v>
      </c>
      <c r="AV260">
        <v>58.61</v>
      </c>
      <c r="AY260">
        <v>0</v>
      </c>
      <c r="AZ260">
        <v>0</v>
      </c>
      <c r="BA260">
        <v>96.67</v>
      </c>
      <c r="BB260">
        <v>71.3</v>
      </c>
      <c r="BC260">
        <v>29</v>
      </c>
      <c r="BD260">
        <v>64.17</v>
      </c>
      <c r="BE260">
        <f t="shared" ref="BE260:BE323" si="9">IF(AE260&gt;0,AE260,AD260)</f>
        <v>105.5</v>
      </c>
      <c r="BF260">
        <f t="shared" ref="BF260:BF323" si="10">G260+H260+I260+AF260+(BE260/3)</f>
        <v>74.166666666666657</v>
      </c>
      <c r="BG260" t="s">
        <v>758</v>
      </c>
    </row>
    <row r="261" spans="1:59" x14ac:dyDescent="0.3">
      <c r="A261" t="s">
        <v>186</v>
      </c>
      <c r="B261">
        <v>128075</v>
      </c>
      <c r="C261">
        <v>24339966</v>
      </c>
      <c r="D261" t="s">
        <v>187</v>
      </c>
      <c r="E261" t="s">
        <v>61</v>
      </c>
      <c r="F261" t="s">
        <v>66</v>
      </c>
      <c r="G261">
        <v>7.5</v>
      </c>
      <c r="H261">
        <v>9</v>
      </c>
      <c r="I261">
        <v>8.5</v>
      </c>
      <c r="K261" t="s">
        <v>63</v>
      </c>
      <c r="L261" t="s">
        <v>63</v>
      </c>
      <c r="M261" t="s">
        <v>63</v>
      </c>
      <c r="N261" t="s">
        <v>63</v>
      </c>
      <c r="P261" t="s">
        <v>63</v>
      </c>
      <c r="Q261" t="s">
        <v>63</v>
      </c>
      <c r="R261" t="s">
        <v>63</v>
      </c>
      <c r="S261" t="s">
        <v>63</v>
      </c>
      <c r="U261" t="s">
        <v>63</v>
      </c>
      <c r="V261" t="s">
        <v>63</v>
      </c>
      <c r="W261" t="s">
        <v>63</v>
      </c>
      <c r="X261" t="s">
        <v>63</v>
      </c>
      <c r="Z261" t="s">
        <v>63</v>
      </c>
      <c r="AA261" t="s">
        <v>63</v>
      </c>
      <c r="AB261" t="s">
        <v>63</v>
      </c>
      <c r="AC261" t="s">
        <v>63</v>
      </c>
      <c r="AD261" t="s">
        <v>63</v>
      </c>
      <c r="AE261">
        <v>117</v>
      </c>
      <c r="AF261">
        <v>10</v>
      </c>
      <c r="AG261">
        <v>83.33</v>
      </c>
      <c r="AH261">
        <v>83.33</v>
      </c>
      <c r="AI261">
        <v>83.33</v>
      </c>
      <c r="AJ261">
        <v>83.33</v>
      </c>
      <c r="AT261">
        <v>65</v>
      </c>
      <c r="AU261">
        <v>0</v>
      </c>
      <c r="AV261">
        <v>65</v>
      </c>
      <c r="AY261">
        <v>0</v>
      </c>
      <c r="AZ261">
        <v>0</v>
      </c>
      <c r="BA261">
        <v>83.33</v>
      </c>
      <c r="BB261">
        <v>71.11</v>
      </c>
      <c r="BC261">
        <v>25</v>
      </c>
      <c r="BD261">
        <v>64</v>
      </c>
      <c r="BE261">
        <f t="shared" si="9"/>
        <v>117</v>
      </c>
      <c r="BF261">
        <f t="shared" si="10"/>
        <v>74</v>
      </c>
      <c r="BG261" t="s">
        <v>758</v>
      </c>
    </row>
    <row r="262" spans="1:59" x14ac:dyDescent="0.3">
      <c r="A262" t="s">
        <v>494</v>
      </c>
      <c r="B262">
        <v>126387</v>
      </c>
      <c r="C262">
        <v>24314738</v>
      </c>
      <c r="D262" t="s">
        <v>495</v>
      </c>
      <c r="E262" t="s">
        <v>61</v>
      </c>
      <c r="F262" t="s">
        <v>62</v>
      </c>
      <c r="G262">
        <v>9</v>
      </c>
      <c r="H262">
        <v>10</v>
      </c>
      <c r="I262">
        <v>9</v>
      </c>
      <c r="J262" t="s">
        <v>63</v>
      </c>
      <c r="K262" t="s">
        <v>63</v>
      </c>
      <c r="L262" t="s">
        <v>63</v>
      </c>
      <c r="M262" t="s">
        <v>63</v>
      </c>
      <c r="O262" t="s">
        <v>63</v>
      </c>
      <c r="P262" t="s">
        <v>63</v>
      </c>
      <c r="Q262" t="s">
        <v>63</v>
      </c>
      <c r="R262" t="s">
        <v>63</v>
      </c>
      <c r="T262" t="s">
        <v>63</v>
      </c>
      <c r="U262" t="s">
        <v>63</v>
      </c>
      <c r="V262" t="s">
        <v>63</v>
      </c>
      <c r="W262" t="s">
        <v>63</v>
      </c>
      <c r="Y262" t="s">
        <v>63</v>
      </c>
      <c r="Z262" t="s">
        <v>63</v>
      </c>
      <c r="AA262" t="s">
        <v>63</v>
      </c>
      <c r="AB262" t="s">
        <v>63</v>
      </c>
      <c r="AD262" t="s">
        <v>63</v>
      </c>
      <c r="AE262">
        <v>107.5</v>
      </c>
      <c r="AF262">
        <v>10</v>
      </c>
      <c r="AG262">
        <v>93.33</v>
      </c>
      <c r="AH262">
        <v>93.33</v>
      </c>
      <c r="AI262">
        <v>93.33</v>
      </c>
      <c r="AJ262">
        <v>93.33</v>
      </c>
      <c r="AT262">
        <v>59.72</v>
      </c>
      <c r="AU262">
        <v>0</v>
      </c>
      <c r="AV262">
        <v>59.72</v>
      </c>
      <c r="AY262">
        <v>0</v>
      </c>
      <c r="AZ262">
        <v>0</v>
      </c>
      <c r="BA262">
        <v>93.33</v>
      </c>
      <c r="BB262">
        <v>70.930000000000007</v>
      </c>
      <c r="BC262">
        <v>28</v>
      </c>
      <c r="BD262">
        <v>63.83</v>
      </c>
      <c r="BE262">
        <f t="shared" si="9"/>
        <v>107.5</v>
      </c>
      <c r="BF262">
        <f t="shared" si="10"/>
        <v>73.833333333333343</v>
      </c>
      <c r="BG262" t="s">
        <v>758</v>
      </c>
    </row>
    <row r="263" spans="1:59" x14ac:dyDescent="0.3">
      <c r="A263" t="s">
        <v>340</v>
      </c>
      <c r="B263">
        <v>112256</v>
      </c>
      <c r="C263">
        <v>24159545</v>
      </c>
      <c r="D263" t="s">
        <v>341</v>
      </c>
      <c r="E263" t="s">
        <v>61</v>
      </c>
      <c r="F263" t="s">
        <v>62</v>
      </c>
      <c r="G263">
        <v>6</v>
      </c>
      <c r="H263">
        <v>9.25</v>
      </c>
      <c r="I263">
        <v>9</v>
      </c>
      <c r="J263" t="s">
        <v>63</v>
      </c>
      <c r="K263" t="s">
        <v>63</v>
      </c>
      <c r="L263" t="s">
        <v>63</v>
      </c>
      <c r="M263" t="s">
        <v>63</v>
      </c>
      <c r="O263" t="s">
        <v>63</v>
      </c>
      <c r="P263" t="s">
        <v>63</v>
      </c>
      <c r="Q263" t="s">
        <v>63</v>
      </c>
      <c r="R263" t="s">
        <v>63</v>
      </c>
      <c r="T263" t="s">
        <v>63</v>
      </c>
      <c r="U263" t="s">
        <v>63</v>
      </c>
      <c r="V263" t="s">
        <v>63</v>
      </c>
      <c r="W263" t="s">
        <v>63</v>
      </c>
      <c r="Y263" t="s">
        <v>63</v>
      </c>
      <c r="Z263" t="s">
        <v>63</v>
      </c>
      <c r="AA263" t="s">
        <v>63</v>
      </c>
      <c r="AB263" t="s">
        <v>63</v>
      </c>
      <c r="AD263" t="s">
        <v>63</v>
      </c>
      <c r="AE263">
        <v>118.5</v>
      </c>
      <c r="AF263">
        <v>10</v>
      </c>
      <c r="AG263">
        <v>80.83</v>
      </c>
      <c r="AH263">
        <v>80.83</v>
      </c>
      <c r="AI263">
        <v>80.83</v>
      </c>
      <c r="AJ263">
        <v>80.83</v>
      </c>
      <c r="AT263">
        <v>65.83</v>
      </c>
      <c r="AU263">
        <v>0</v>
      </c>
      <c r="AV263">
        <v>65.83</v>
      </c>
      <c r="AY263">
        <v>0</v>
      </c>
      <c r="AZ263">
        <v>0</v>
      </c>
      <c r="BA263">
        <v>80.83</v>
      </c>
      <c r="BB263">
        <v>70.83</v>
      </c>
      <c r="BC263">
        <v>24.25</v>
      </c>
      <c r="BD263">
        <v>63.75</v>
      </c>
      <c r="BE263">
        <f t="shared" si="9"/>
        <v>118.5</v>
      </c>
      <c r="BF263">
        <f t="shared" si="10"/>
        <v>73.75</v>
      </c>
      <c r="BG263" t="s">
        <v>758</v>
      </c>
    </row>
    <row r="264" spans="1:59" x14ac:dyDescent="0.3">
      <c r="A264" t="s">
        <v>370</v>
      </c>
      <c r="B264">
        <v>123443</v>
      </c>
      <c r="C264">
        <v>24275145</v>
      </c>
      <c r="D264" t="s">
        <v>371</v>
      </c>
      <c r="E264" t="s">
        <v>61</v>
      </c>
      <c r="F264" t="s">
        <v>62</v>
      </c>
      <c r="G264">
        <v>6.75</v>
      </c>
      <c r="H264">
        <v>9</v>
      </c>
      <c r="I264">
        <v>6</v>
      </c>
      <c r="J264" t="s">
        <v>63</v>
      </c>
      <c r="K264" t="s">
        <v>63</v>
      </c>
      <c r="L264" t="s">
        <v>63</v>
      </c>
      <c r="M264" t="s">
        <v>63</v>
      </c>
      <c r="O264" t="s">
        <v>63</v>
      </c>
      <c r="P264" t="s">
        <v>63</v>
      </c>
      <c r="Q264" t="s">
        <v>63</v>
      </c>
      <c r="R264" t="s">
        <v>63</v>
      </c>
      <c r="T264" t="s">
        <v>63</v>
      </c>
      <c r="U264" t="s">
        <v>63</v>
      </c>
      <c r="V264" t="s">
        <v>63</v>
      </c>
      <c r="W264" t="s">
        <v>63</v>
      </c>
      <c r="Y264" t="s">
        <v>63</v>
      </c>
      <c r="Z264" t="s">
        <v>63</v>
      </c>
      <c r="AA264" t="s">
        <v>63</v>
      </c>
      <c r="AB264" t="s">
        <v>63</v>
      </c>
      <c r="AD264" t="s">
        <v>63</v>
      </c>
      <c r="AE264">
        <v>125.5</v>
      </c>
      <c r="AF264">
        <v>10</v>
      </c>
      <c r="AG264">
        <v>72.5</v>
      </c>
      <c r="AH264">
        <v>72.5</v>
      </c>
      <c r="AI264">
        <v>72.5</v>
      </c>
      <c r="AJ264">
        <v>72.5</v>
      </c>
      <c r="AT264">
        <v>69.72</v>
      </c>
      <c r="AU264">
        <v>0</v>
      </c>
      <c r="AV264">
        <v>69.72</v>
      </c>
      <c r="AY264">
        <v>0</v>
      </c>
      <c r="AZ264">
        <v>0</v>
      </c>
      <c r="BA264">
        <v>72.5</v>
      </c>
      <c r="BB264">
        <v>70.650000000000006</v>
      </c>
      <c r="BC264">
        <v>21.75</v>
      </c>
      <c r="BD264">
        <v>63.58</v>
      </c>
      <c r="BE264">
        <f t="shared" si="9"/>
        <v>125.5</v>
      </c>
      <c r="BF264">
        <f t="shared" si="10"/>
        <v>73.583333333333343</v>
      </c>
      <c r="BG264" t="s">
        <v>758</v>
      </c>
    </row>
    <row r="265" spans="1:59" x14ac:dyDescent="0.3">
      <c r="A265" t="s">
        <v>546</v>
      </c>
      <c r="B265">
        <v>123040</v>
      </c>
      <c r="C265">
        <v>24276777</v>
      </c>
      <c r="D265" t="s">
        <v>547</v>
      </c>
      <c r="E265" t="s">
        <v>61</v>
      </c>
      <c r="F265" t="s">
        <v>62</v>
      </c>
      <c r="G265">
        <v>8</v>
      </c>
      <c r="H265">
        <v>10</v>
      </c>
      <c r="I265">
        <v>10</v>
      </c>
      <c r="J265" t="s">
        <v>63</v>
      </c>
      <c r="K265" t="s">
        <v>63</v>
      </c>
      <c r="L265" t="s">
        <v>63</v>
      </c>
      <c r="M265" t="s">
        <v>63</v>
      </c>
      <c r="O265" t="s">
        <v>63</v>
      </c>
      <c r="P265" t="s">
        <v>63</v>
      </c>
      <c r="Q265" t="s">
        <v>63</v>
      </c>
      <c r="R265" t="s">
        <v>63</v>
      </c>
      <c r="T265" t="s">
        <v>63</v>
      </c>
      <c r="U265" t="s">
        <v>63</v>
      </c>
      <c r="V265" t="s">
        <v>63</v>
      </c>
      <c r="W265" t="s">
        <v>63</v>
      </c>
      <c r="Y265" t="s">
        <v>63</v>
      </c>
      <c r="Z265" t="s">
        <v>63</v>
      </c>
      <c r="AA265" t="s">
        <v>63</v>
      </c>
      <c r="AB265" t="s">
        <v>63</v>
      </c>
      <c r="AD265" t="s">
        <v>63</v>
      </c>
      <c r="AE265">
        <v>106.5</v>
      </c>
      <c r="AF265">
        <v>10</v>
      </c>
      <c r="AG265">
        <v>93.33</v>
      </c>
      <c r="AH265">
        <v>93.33</v>
      </c>
      <c r="AI265">
        <v>93.33</v>
      </c>
      <c r="AJ265">
        <v>93.33</v>
      </c>
      <c r="AT265">
        <v>59.17</v>
      </c>
      <c r="AU265">
        <v>0</v>
      </c>
      <c r="AV265">
        <v>59.17</v>
      </c>
      <c r="AY265">
        <v>0</v>
      </c>
      <c r="AZ265">
        <v>0</v>
      </c>
      <c r="BA265">
        <v>93.33</v>
      </c>
      <c r="BB265">
        <v>70.56</v>
      </c>
      <c r="BC265">
        <v>28</v>
      </c>
      <c r="BD265">
        <v>63.5</v>
      </c>
      <c r="BE265">
        <f t="shared" si="9"/>
        <v>106.5</v>
      </c>
      <c r="BF265">
        <f t="shared" si="10"/>
        <v>73.5</v>
      </c>
      <c r="BG265" t="s">
        <v>758</v>
      </c>
    </row>
    <row r="266" spans="1:59" x14ac:dyDescent="0.3">
      <c r="A266" t="s">
        <v>150</v>
      </c>
      <c r="B266">
        <v>123067</v>
      </c>
      <c r="C266">
        <v>24275060</v>
      </c>
      <c r="D266" t="s">
        <v>151</v>
      </c>
      <c r="E266" t="s">
        <v>61</v>
      </c>
      <c r="F266" t="s">
        <v>66</v>
      </c>
      <c r="G266">
        <v>7.25</v>
      </c>
      <c r="H266">
        <v>9.5</v>
      </c>
      <c r="I266">
        <v>8</v>
      </c>
      <c r="K266" t="s">
        <v>63</v>
      </c>
      <c r="L266" t="s">
        <v>63</v>
      </c>
      <c r="M266" t="s">
        <v>63</v>
      </c>
      <c r="N266" t="s">
        <v>63</v>
      </c>
      <c r="P266" t="s">
        <v>63</v>
      </c>
      <c r="Q266" t="s">
        <v>63</v>
      </c>
      <c r="R266" t="s">
        <v>63</v>
      </c>
      <c r="S266" t="s">
        <v>63</v>
      </c>
      <c r="U266" t="s">
        <v>63</v>
      </c>
      <c r="V266" t="s">
        <v>63</v>
      </c>
      <c r="W266" t="s">
        <v>63</v>
      </c>
      <c r="X266" t="s">
        <v>63</v>
      </c>
      <c r="Z266" t="s">
        <v>63</v>
      </c>
      <c r="AA266" t="s">
        <v>63</v>
      </c>
      <c r="AB266" t="s">
        <v>63</v>
      </c>
      <c r="AC266" t="s">
        <v>63</v>
      </c>
      <c r="AD266" t="s">
        <v>63</v>
      </c>
      <c r="AE266">
        <v>116</v>
      </c>
      <c r="AF266">
        <v>10</v>
      </c>
      <c r="AG266">
        <v>82.5</v>
      </c>
      <c r="AH266">
        <v>82.5</v>
      </c>
      <c r="AI266">
        <v>82.5</v>
      </c>
      <c r="AJ266">
        <v>82.5</v>
      </c>
      <c r="AT266">
        <v>64.44</v>
      </c>
      <c r="AU266">
        <v>0</v>
      </c>
      <c r="AV266">
        <v>64.44</v>
      </c>
      <c r="AY266">
        <v>0</v>
      </c>
      <c r="AZ266">
        <v>0</v>
      </c>
      <c r="BA266">
        <v>82.5</v>
      </c>
      <c r="BB266">
        <v>70.459999999999994</v>
      </c>
      <c r="BC266">
        <v>24.75</v>
      </c>
      <c r="BD266">
        <v>63.42</v>
      </c>
      <c r="BE266">
        <f t="shared" si="9"/>
        <v>116</v>
      </c>
      <c r="BF266">
        <f t="shared" si="10"/>
        <v>73.416666666666657</v>
      </c>
      <c r="BG266" t="s">
        <v>758</v>
      </c>
    </row>
    <row r="267" spans="1:59" x14ac:dyDescent="0.3">
      <c r="A267" t="s">
        <v>272</v>
      </c>
      <c r="B267">
        <v>62810</v>
      </c>
      <c r="C267">
        <v>17297364</v>
      </c>
      <c r="D267" t="s">
        <v>273</v>
      </c>
      <c r="E267" t="s">
        <v>61</v>
      </c>
      <c r="F267" t="s">
        <v>69</v>
      </c>
      <c r="G267">
        <v>6.25</v>
      </c>
      <c r="H267">
        <v>9</v>
      </c>
      <c r="I267">
        <v>9.5</v>
      </c>
      <c r="J267" t="s">
        <v>63</v>
      </c>
      <c r="L267" t="s">
        <v>63</v>
      </c>
      <c r="M267" t="s">
        <v>63</v>
      </c>
      <c r="N267" t="s">
        <v>63</v>
      </c>
      <c r="O267" t="s">
        <v>63</v>
      </c>
      <c r="Q267" t="s">
        <v>63</v>
      </c>
      <c r="R267" t="s">
        <v>63</v>
      </c>
      <c r="S267" t="s">
        <v>63</v>
      </c>
      <c r="T267" t="s">
        <v>63</v>
      </c>
      <c r="V267" t="s">
        <v>63</v>
      </c>
      <c r="W267" t="s">
        <v>63</v>
      </c>
      <c r="X267" t="s">
        <v>63</v>
      </c>
      <c r="Y267" t="s">
        <v>63</v>
      </c>
      <c r="AA267" t="s">
        <v>63</v>
      </c>
      <c r="AB267" t="s">
        <v>63</v>
      </c>
      <c r="AC267" t="s">
        <v>63</v>
      </c>
      <c r="AD267" t="s">
        <v>63</v>
      </c>
      <c r="AE267">
        <v>116</v>
      </c>
      <c r="AF267">
        <v>10</v>
      </c>
      <c r="AG267">
        <v>82.5</v>
      </c>
      <c r="AH267">
        <v>82.5</v>
      </c>
      <c r="AI267">
        <v>82.5</v>
      </c>
      <c r="AJ267">
        <v>82.5</v>
      </c>
      <c r="AT267">
        <v>64.44</v>
      </c>
      <c r="AU267">
        <v>0</v>
      </c>
      <c r="AV267">
        <v>64.44</v>
      </c>
      <c r="AY267">
        <v>0</v>
      </c>
      <c r="AZ267">
        <v>0</v>
      </c>
      <c r="BA267">
        <v>82.5</v>
      </c>
      <c r="BB267">
        <v>70.459999999999994</v>
      </c>
      <c r="BC267">
        <v>24.75</v>
      </c>
      <c r="BD267">
        <v>63.42</v>
      </c>
      <c r="BE267">
        <f t="shared" si="9"/>
        <v>116</v>
      </c>
      <c r="BF267">
        <f t="shared" si="10"/>
        <v>73.416666666666657</v>
      </c>
      <c r="BG267" t="s">
        <v>758</v>
      </c>
    </row>
    <row r="268" spans="1:59" x14ac:dyDescent="0.3">
      <c r="A268" t="s">
        <v>106</v>
      </c>
      <c r="B268">
        <v>128422</v>
      </c>
      <c r="C268">
        <v>24344879</v>
      </c>
      <c r="D268" t="s">
        <v>107</v>
      </c>
      <c r="E268" t="s">
        <v>61</v>
      </c>
      <c r="F268" t="s">
        <v>62</v>
      </c>
      <c r="G268">
        <v>9.5</v>
      </c>
      <c r="H268">
        <v>9.25</v>
      </c>
      <c r="I268">
        <v>9</v>
      </c>
      <c r="J268" t="s">
        <v>63</v>
      </c>
      <c r="K268" t="s">
        <v>63</v>
      </c>
      <c r="L268" t="s">
        <v>63</v>
      </c>
      <c r="M268" t="s">
        <v>63</v>
      </c>
      <c r="O268" t="s">
        <v>63</v>
      </c>
      <c r="P268" t="s">
        <v>63</v>
      </c>
      <c r="Q268" t="s">
        <v>63</v>
      </c>
      <c r="R268" t="s">
        <v>63</v>
      </c>
      <c r="T268" t="s">
        <v>63</v>
      </c>
      <c r="U268" t="s">
        <v>63</v>
      </c>
      <c r="V268" t="s">
        <v>63</v>
      </c>
      <c r="W268" t="s">
        <v>63</v>
      </c>
      <c r="Y268" t="s">
        <v>63</v>
      </c>
      <c r="Z268" t="s">
        <v>63</v>
      </c>
      <c r="AA268" t="s">
        <v>63</v>
      </c>
      <c r="AB268" t="s">
        <v>63</v>
      </c>
      <c r="AD268" t="s">
        <v>63</v>
      </c>
      <c r="AE268">
        <v>106.5</v>
      </c>
      <c r="AF268">
        <v>10</v>
      </c>
      <c r="AG268">
        <v>92.5</v>
      </c>
      <c r="AH268">
        <v>92.5</v>
      </c>
      <c r="AI268">
        <v>92.5</v>
      </c>
      <c r="AJ268">
        <v>92.5</v>
      </c>
      <c r="AT268">
        <v>59.17</v>
      </c>
      <c r="AU268">
        <v>0</v>
      </c>
      <c r="AV268">
        <v>59.17</v>
      </c>
      <c r="AY268">
        <v>0</v>
      </c>
      <c r="AZ268">
        <v>0</v>
      </c>
      <c r="BA268">
        <v>92.5</v>
      </c>
      <c r="BB268">
        <v>70.28</v>
      </c>
      <c r="BC268">
        <v>27.75</v>
      </c>
      <c r="BD268">
        <v>63.25</v>
      </c>
      <c r="BE268">
        <f t="shared" si="9"/>
        <v>106.5</v>
      </c>
      <c r="BF268">
        <f t="shared" si="10"/>
        <v>73.25</v>
      </c>
      <c r="BG268" t="s">
        <v>758</v>
      </c>
    </row>
    <row r="269" spans="1:59" x14ac:dyDescent="0.3">
      <c r="A269" t="s">
        <v>688</v>
      </c>
      <c r="B269">
        <v>127648</v>
      </c>
      <c r="C269">
        <v>13526310</v>
      </c>
      <c r="D269" t="s">
        <v>689</v>
      </c>
      <c r="E269" t="s">
        <v>61</v>
      </c>
      <c r="F269" t="s">
        <v>62</v>
      </c>
      <c r="G269">
        <v>9</v>
      </c>
      <c r="H269">
        <v>8.75</v>
      </c>
      <c r="I269">
        <v>10</v>
      </c>
      <c r="J269" t="s">
        <v>63</v>
      </c>
      <c r="K269" t="s">
        <v>63</v>
      </c>
      <c r="L269" t="s">
        <v>63</v>
      </c>
      <c r="M269" t="s">
        <v>63</v>
      </c>
      <c r="O269" t="s">
        <v>63</v>
      </c>
      <c r="P269" t="s">
        <v>63</v>
      </c>
      <c r="Q269" t="s">
        <v>63</v>
      </c>
      <c r="R269" t="s">
        <v>63</v>
      </c>
      <c r="T269" t="s">
        <v>63</v>
      </c>
      <c r="U269" t="s">
        <v>63</v>
      </c>
      <c r="V269" t="s">
        <v>63</v>
      </c>
      <c r="W269" t="s">
        <v>63</v>
      </c>
      <c r="Y269" t="s">
        <v>63</v>
      </c>
      <c r="Z269" t="s">
        <v>63</v>
      </c>
      <c r="AA269" t="s">
        <v>63</v>
      </c>
      <c r="AB269" t="s">
        <v>63</v>
      </c>
      <c r="AD269" t="s">
        <v>63</v>
      </c>
      <c r="AE269">
        <v>106.5</v>
      </c>
      <c r="AF269">
        <v>10</v>
      </c>
      <c r="AG269">
        <v>92.5</v>
      </c>
      <c r="AH269">
        <v>92.5</v>
      </c>
      <c r="AI269">
        <v>92.5</v>
      </c>
      <c r="AJ269">
        <v>92.5</v>
      </c>
      <c r="AT269">
        <v>59.17</v>
      </c>
      <c r="AU269">
        <v>0</v>
      </c>
      <c r="AV269">
        <v>59.17</v>
      </c>
      <c r="AY269">
        <v>0</v>
      </c>
      <c r="AZ269">
        <v>0</v>
      </c>
      <c r="BA269">
        <v>92.5</v>
      </c>
      <c r="BB269">
        <v>70.28</v>
      </c>
      <c r="BC269">
        <v>27.75</v>
      </c>
      <c r="BD269">
        <v>63.25</v>
      </c>
      <c r="BE269">
        <f t="shared" si="9"/>
        <v>106.5</v>
      </c>
      <c r="BF269">
        <f t="shared" si="10"/>
        <v>73.25</v>
      </c>
      <c r="BG269" t="s">
        <v>758</v>
      </c>
    </row>
    <row r="270" spans="1:59" x14ac:dyDescent="0.3">
      <c r="A270" t="s">
        <v>464</v>
      </c>
      <c r="B270">
        <v>128158</v>
      </c>
      <c r="C270">
        <v>24340034</v>
      </c>
      <c r="D270" t="s">
        <v>465</v>
      </c>
      <c r="E270" t="s">
        <v>61</v>
      </c>
      <c r="F270" t="s">
        <v>72</v>
      </c>
      <c r="G270">
        <v>9</v>
      </c>
      <c r="H270">
        <v>10</v>
      </c>
      <c r="I270">
        <v>9.5</v>
      </c>
      <c r="J270" t="s">
        <v>63</v>
      </c>
      <c r="K270" t="s">
        <v>63</v>
      </c>
      <c r="M270" t="s">
        <v>63</v>
      </c>
      <c r="N270" t="s">
        <v>63</v>
      </c>
      <c r="O270" t="s">
        <v>63</v>
      </c>
      <c r="P270" t="s">
        <v>63</v>
      </c>
      <c r="R270" t="s">
        <v>63</v>
      </c>
      <c r="S270" t="s">
        <v>63</v>
      </c>
      <c r="T270" t="s">
        <v>63</v>
      </c>
      <c r="U270" t="s">
        <v>63</v>
      </c>
      <c r="W270" t="s">
        <v>63</v>
      </c>
      <c r="X270" t="s">
        <v>63</v>
      </c>
      <c r="Y270" t="s">
        <v>63</v>
      </c>
      <c r="Z270" t="s">
        <v>63</v>
      </c>
      <c r="AB270" t="s">
        <v>63</v>
      </c>
      <c r="AC270" t="s">
        <v>63</v>
      </c>
      <c r="AD270" t="s">
        <v>63</v>
      </c>
      <c r="AE270">
        <v>104</v>
      </c>
      <c r="AF270">
        <v>10</v>
      </c>
      <c r="AG270">
        <v>95</v>
      </c>
      <c r="AH270">
        <v>95</v>
      </c>
      <c r="AI270">
        <v>95</v>
      </c>
      <c r="AJ270">
        <v>95</v>
      </c>
      <c r="AT270">
        <v>57.78</v>
      </c>
      <c r="AU270">
        <v>0</v>
      </c>
      <c r="AV270">
        <v>57.78</v>
      </c>
      <c r="AY270">
        <v>0</v>
      </c>
      <c r="AZ270">
        <v>0</v>
      </c>
      <c r="BA270">
        <v>95</v>
      </c>
      <c r="BB270">
        <v>70.19</v>
      </c>
      <c r="BC270">
        <v>28.5</v>
      </c>
      <c r="BD270">
        <v>63.17</v>
      </c>
      <c r="BE270">
        <f t="shared" si="9"/>
        <v>104</v>
      </c>
      <c r="BF270">
        <f t="shared" si="10"/>
        <v>73.166666666666657</v>
      </c>
      <c r="BG270" t="s">
        <v>758</v>
      </c>
    </row>
    <row r="271" spans="1:59" x14ac:dyDescent="0.3">
      <c r="A271" t="s">
        <v>418</v>
      </c>
      <c r="B271">
        <v>99668</v>
      </c>
      <c r="C271">
        <v>17671789</v>
      </c>
      <c r="D271" t="s">
        <v>419</v>
      </c>
      <c r="E271" t="s">
        <v>61</v>
      </c>
      <c r="F271" t="s">
        <v>62</v>
      </c>
      <c r="G271">
        <v>7</v>
      </c>
      <c r="H271">
        <v>7.75</v>
      </c>
      <c r="I271">
        <v>10</v>
      </c>
      <c r="J271" t="s">
        <v>63</v>
      </c>
      <c r="K271" t="s">
        <v>63</v>
      </c>
      <c r="L271" t="s">
        <v>63</v>
      </c>
      <c r="M271" t="s">
        <v>63</v>
      </c>
      <c r="O271" t="s">
        <v>63</v>
      </c>
      <c r="P271" t="s">
        <v>63</v>
      </c>
      <c r="Q271" t="s">
        <v>63</v>
      </c>
      <c r="R271" t="s">
        <v>63</v>
      </c>
      <c r="T271" t="s">
        <v>63</v>
      </c>
      <c r="U271" t="s">
        <v>63</v>
      </c>
      <c r="V271" t="s">
        <v>63</v>
      </c>
      <c r="W271" t="s">
        <v>63</v>
      </c>
      <c r="Y271" t="s">
        <v>63</v>
      </c>
      <c r="Z271" t="s">
        <v>63</v>
      </c>
      <c r="AA271" t="s">
        <v>63</v>
      </c>
      <c r="AB271" t="s">
        <v>63</v>
      </c>
      <c r="AD271" t="s">
        <v>63</v>
      </c>
      <c r="AE271">
        <v>115</v>
      </c>
      <c r="AF271">
        <v>10</v>
      </c>
      <c r="AG271">
        <v>82.5</v>
      </c>
      <c r="AH271">
        <v>82.5</v>
      </c>
      <c r="AI271">
        <v>82.5</v>
      </c>
      <c r="AJ271">
        <v>82.5</v>
      </c>
      <c r="AT271">
        <v>63.89</v>
      </c>
      <c r="AU271">
        <v>0</v>
      </c>
      <c r="AV271">
        <v>63.89</v>
      </c>
      <c r="AY271">
        <v>0</v>
      </c>
      <c r="AZ271">
        <v>0</v>
      </c>
      <c r="BA271">
        <v>82.5</v>
      </c>
      <c r="BB271">
        <v>70.09</v>
      </c>
      <c r="BC271">
        <v>24.75</v>
      </c>
      <c r="BD271">
        <v>63.08</v>
      </c>
      <c r="BE271">
        <f t="shared" si="9"/>
        <v>115</v>
      </c>
      <c r="BF271">
        <f t="shared" si="10"/>
        <v>73.083333333333343</v>
      </c>
      <c r="BG271" t="s">
        <v>758</v>
      </c>
    </row>
    <row r="272" spans="1:59" x14ac:dyDescent="0.3">
      <c r="A272" t="s">
        <v>220</v>
      </c>
      <c r="B272">
        <v>126246</v>
      </c>
      <c r="C272">
        <v>24311083</v>
      </c>
      <c r="D272" t="s">
        <v>221</v>
      </c>
      <c r="E272" t="s">
        <v>61</v>
      </c>
      <c r="F272" t="s">
        <v>69</v>
      </c>
      <c r="G272">
        <v>5.75</v>
      </c>
      <c r="H272">
        <v>10</v>
      </c>
      <c r="I272">
        <v>9.5</v>
      </c>
      <c r="J272" t="s">
        <v>63</v>
      </c>
      <c r="L272" t="s">
        <v>63</v>
      </c>
      <c r="M272" t="s">
        <v>63</v>
      </c>
      <c r="N272" t="s">
        <v>63</v>
      </c>
      <c r="O272" t="s">
        <v>63</v>
      </c>
      <c r="Q272" t="s">
        <v>63</v>
      </c>
      <c r="R272" t="s">
        <v>63</v>
      </c>
      <c r="S272" t="s">
        <v>63</v>
      </c>
      <c r="T272" t="s">
        <v>63</v>
      </c>
      <c r="V272" t="s">
        <v>63</v>
      </c>
      <c r="W272" t="s">
        <v>63</v>
      </c>
      <c r="X272" t="s">
        <v>63</v>
      </c>
      <c r="Y272" t="s">
        <v>63</v>
      </c>
      <c r="AA272" t="s">
        <v>63</v>
      </c>
      <c r="AB272" t="s">
        <v>63</v>
      </c>
      <c r="AC272" t="s">
        <v>63</v>
      </c>
      <c r="AD272" t="s">
        <v>63</v>
      </c>
      <c r="AE272">
        <v>113</v>
      </c>
      <c r="AF272">
        <v>10</v>
      </c>
      <c r="AG272">
        <v>84.17</v>
      </c>
      <c r="AH272">
        <v>84.17</v>
      </c>
      <c r="AI272">
        <v>84.17</v>
      </c>
      <c r="AJ272">
        <v>84.17</v>
      </c>
      <c r="AT272">
        <v>62.78</v>
      </c>
      <c r="AU272">
        <v>0</v>
      </c>
      <c r="AV272">
        <v>62.78</v>
      </c>
      <c r="AY272">
        <v>0</v>
      </c>
      <c r="AZ272">
        <v>0</v>
      </c>
      <c r="BA272">
        <v>84.17</v>
      </c>
      <c r="BB272">
        <v>69.91</v>
      </c>
      <c r="BC272">
        <v>25.25</v>
      </c>
      <c r="BD272">
        <v>62.92</v>
      </c>
      <c r="BE272">
        <f t="shared" si="9"/>
        <v>113</v>
      </c>
      <c r="BF272">
        <f t="shared" si="10"/>
        <v>72.916666666666657</v>
      </c>
      <c r="BG272" t="s">
        <v>758</v>
      </c>
    </row>
    <row r="273" spans="1:59" x14ac:dyDescent="0.3">
      <c r="A273" t="s">
        <v>242</v>
      </c>
      <c r="B273">
        <v>128001</v>
      </c>
      <c r="C273">
        <v>24337943</v>
      </c>
      <c r="D273" t="s">
        <v>243</v>
      </c>
      <c r="E273" t="s">
        <v>61</v>
      </c>
      <c r="F273" t="s">
        <v>69</v>
      </c>
      <c r="G273">
        <v>6.25</v>
      </c>
      <c r="H273">
        <v>10</v>
      </c>
      <c r="I273">
        <v>9.5</v>
      </c>
      <c r="J273" t="s">
        <v>63</v>
      </c>
      <c r="L273" t="s">
        <v>63</v>
      </c>
      <c r="M273" t="s">
        <v>63</v>
      </c>
      <c r="N273" t="s">
        <v>63</v>
      </c>
      <c r="O273" t="s">
        <v>63</v>
      </c>
      <c r="Q273" t="s">
        <v>63</v>
      </c>
      <c r="R273" t="s">
        <v>63</v>
      </c>
      <c r="S273" t="s">
        <v>63</v>
      </c>
      <c r="T273" t="s">
        <v>63</v>
      </c>
      <c r="V273" t="s">
        <v>63</v>
      </c>
      <c r="W273" t="s">
        <v>63</v>
      </c>
      <c r="X273" t="s">
        <v>63</v>
      </c>
      <c r="Y273" t="s">
        <v>63</v>
      </c>
      <c r="AA273" t="s">
        <v>63</v>
      </c>
      <c r="AB273" t="s">
        <v>63</v>
      </c>
      <c r="AC273" t="s">
        <v>63</v>
      </c>
      <c r="AD273" t="s">
        <v>63</v>
      </c>
      <c r="AE273">
        <v>111.5</v>
      </c>
      <c r="AF273">
        <v>10</v>
      </c>
      <c r="AG273">
        <v>85.83</v>
      </c>
      <c r="AH273">
        <v>85.83</v>
      </c>
      <c r="AI273">
        <v>85.83</v>
      </c>
      <c r="AJ273">
        <v>85.83</v>
      </c>
      <c r="AT273">
        <v>61.94</v>
      </c>
      <c r="AU273">
        <v>0</v>
      </c>
      <c r="AV273">
        <v>61.94</v>
      </c>
      <c r="AY273">
        <v>0</v>
      </c>
      <c r="AZ273">
        <v>0</v>
      </c>
      <c r="BA273">
        <v>85.83</v>
      </c>
      <c r="BB273">
        <v>69.91</v>
      </c>
      <c r="BC273">
        <v>25.75</v>
      </c>
      <c r="BD273">
        <v>62.92</v>
      </c>
      <c r="BE273">
        <f t="shared" si="9"/>
        <v>111.5</v>
      </c>
      <c r="BF273">
        <f t="shared" si="10"/>
        <v>72.916666666666657</v>
      </c>
      <c r="BG273" t="s">
        <v>758</v>
      </c>
    </row>
    <row r="274" spans="1:59" x14ac:dyDescent="0.3">
      <c r="A274" t="s">
        <v>282</v>
      </c>
      <c r="B274">
        <v>133001</v>
      </c>
      <c r="C274">
        <v>24374629</v>
      </c>
      <c r="D274" t="s">
        <v>283</v>
      </c>
      <c r="E274" t="s">
        <v>61</v>
      </c>
      <c r="F274" t="s">
        <v>77</v>
      </c>
      <c r="G274">
        <v>7.25</v>
      </c>
      <c r="H274">
        <v>9.5</v>
      </c>
      <c r="I274">
        <v>9.5</v>
      </c>
      <c r="J274" t="s">
        <v>63</v>
      </c>
      <c r="K274" t="s">
        <v>63</v>
      </c>
      <c r="L274" t="s">
        <v>63</v>
      </c>
      <c r="N274" t="s">
        <v>63</v>
      </c>
      <c r="O274" t="s">
        <v>63</v>
      </c>
      <c r="P274" t="s">
        <v>63</v>
      </c>
      <c r="Q274" t="s">
        <v>63</v>
      </c>
      <c r="S274" t="s">
        <v>63</v>
      </c>
      <c r="T274" t="s">
        <v>63</v>
      </c>
      <c r="U274" t="s">
        <v>63</v>
      </c>
      <c r="V274" t="s">
        <v>63</v>
      </c>
      <c r="X274" t="s">
        <v>63</v>
      </c>
      <c r="Y274" t="s">
        <v>63</v>
      </c>
      <c r="Z274" t="s">
        <v>63</v>
      </c>
      <c r="AA274" t="s">
        <v>63</v>
      </c>
      <c r="AC274" t="s">
        <v>63</v>
      </c>
      <c r="AD274">
        <v>109.5</v>
      </c>
      <c r="AF274">
        <v>10</v>
      </c>
      <c r="AG274">
        <v>87.5</v>
      </c>
      <c r="AH274">
        <v>87.5</v>
      </c>
      <c r="AI274">
        <v>87.5</v>
      </c>
      <c r="AJ274">
        <v>87.5</v>
      </c>
      <c r="AT274">
        <v>60.83</v>
      </c>
      <c r="AU274">
        <v>0</v>
      </c>
      <c r="AV274">
        <v>30.42</v>
      </c>
      <c r="AY274">
        <v>0</v>
      </c>
      <c r="AZ274">
        <v>0</v>
      </c>
      <c r="BA274">
        <v>87.5</v>
      </c>
      <c r="BB274">
        <v>69.72</v>
      </c>
      <c r="BC274">
        <v>26.25</v>
      </c>
      <c r="BD274">
        <v>44.5</v>
      </c>
      <c r="BE274">
        <f t="shared" si="9"/>
        <v>109.5</v>
      </c>
      <c r="BF274">
        <f t="shared" si="10"/>
        <v>72.75</v>
      </c>
      <c r="BG274" t="s">
        <v>758</v>
      </c>
    </row>
    <row r="275" spans="1:59" x14ac:dyDescent="0.3">
      <c r="A275" t="s">
        <v>108</v>
      </c>
      <c r="B275">
        <v>127774</v>
      </c>
      <c r="C275">
        <v>24335257</v>
      </c>
      <c r="D275" t="s">
        <v>109</v>
      </c>
      <c r="E275" t="s">
        <v>61</v>
      </c>
      <c r="F275" t="s">
        <v>77</v>
      </c>
      <c r="G275">
        <v>7</v>
      </c>
      <c r="H275">
        <v>9</v>
      </c>
      <c r="I275">
        <v>8</v>
      </c>
      <c r="J275" t="s">
        <v>63</v>
      </c>
      <c r="K275" t="s">
        <v>63</v>
      </c>
      <c r="L275" t="s">
        <v>63</v>
      </c>
      <c r="N275" t="s">
        <v>63</v>
      </c>
      <c r="O275" t="s">
        <v>63</v>
      </c>
      <c r="P275" t="s">
        <v>63</v>
      </c>
      <c r="Q275" t="s">
        <v>63</v>
      </c>
      <c r="S275" t="s">
        <v>63</v>
      </c>
      <c r="T275" t="s">
        <v>63</v>
      </c>
      <c r="U275" t="s">
        <v>63</v>
      </c>
      <c r="V275" t="s">
        <v>63</v>
      </c>
      <c r="X275" t="s">
        <v>63</v>
      </c>
      <c r="Y275" t="s">
        <v>63</v>
      </c>
      <c r="Z275" t="s">
        <v>63</v>
      </c>
      <c r="AA275" t="s">
        <v>63</v>
      </c>
      <c r="AC275" t="s">
        <v>63</v>
      </c>
      <c r="AD275" t="s">
        <v>63</v>
      </c>
      <c r="AE275">
        <v>116</v>
      </c>
      <c r="AF275">
        <v>10</v>
      </c>
      <c r="AG275">
        <v>80</v>
      </c>
      <c r="AH275">
        <v>80</v>
      </c>
      <c r="AI275">
        <v>80</v>
      </c>
      <c r="AJ275">
        <v>80</v>
      </c>
      <c r="AT275">
        <v>64.44</v>
      </c>
      <c r="AU275">
        <v>0</v>
      </c>
      <c r="AV275">
        <v>64.44</v>
      </c>
      <c r="AY275">
        <v>0</v>
      </c>
      <c r="AZ275">
        <v>0</v>
      </c>
      <c r="BA275">
        <v>80</v>
      </c>
      <c r="BB275">
        <v>69.63</v>
      </c>
      <c r="BC275">
        <v>24</v>
      </c>
      <c r="BD275">
        <v>62.67</v>
      </c>
      <c r="BE275">
        <f t="shared" si="9"/>
        <v>116</v>
      </c>
      <c r="BF275">
        <f t="shared" si="10"/>
        <v>72.666666666666657</v>
      </c>
      <c r="BG275" t="s">
        <v>758</v>
      </c>
    </row>
    <row r="276" spans="1:59" x14ac:dyDescent="0.3">
      <c r="A276" t="s">
        <v>492</v>
      </c>
      <c r="B276">
        <v>19157</v>
      </c>
      <c r="C276">
        <v>17138533</v>
      </c>
      <c r="D276" t="s">
        <v>493</v>
      </c>
      <c r="E276" t="s">
        <v>61</v>
      </c>
      <c r="F276" t="s">
        <v>77</v>
      </c>
      <c r="G276">
        <v>8</v>
      </c>
      <c r="H276">
        <v>8</v>
      </c>
      <c r="I276">
        <v>8</v>
      </c>
      <c r="J276" t="s">
        <v>63</v>
      </c>
      <c r="K276" t="s">
        <v>63</v>
      </c>
      <c r="L276" t="s">
        <v>63</v>
      </c>
      <c r="N276" t="s">
        <v>63</v>
      </c>
      <c r="O276" t="s">
        <v>63</v>
      </c>
      <c r="P276" t="s">
        <v>63</v>
      </c>
      <c r="Q276" t="s">
        <v>63</v>
      </c>
      <c r="S276" t="s">
        <v>63</v>
      </c>
      <c r="T276" t="s">
        <v>63</v>
      </c>
      <c r="U276" t="s">
        <v>63</v>
      </c>
      <c r="V276" t="s">
        <v>63</v>
      </c>
      <c r="X276" t="s">
        <v>63</v>
      </c>
      <c r="Y276" t="s">
        <v>63</v>
      </c>
      <c r="Z276" t="s">
        <v>63</v>
      </c>
      <c r="AA276" t="s">
        <v>63</v>
      </c>
      <c r="AC276" t="s">
        <v>63</v>
      </c>
      <c r="AD276" t="s">
        <v>63</v>
      </c>
      <c r="AE276">
        <v>116</v>
      </c>
      <c r="AF276">
        <v>10</v>
      </c>
      <c r="AG276">
        <v>80</v>
      </c>
      <c r="AH276">
        <v>80</v>
      </c>
      <c r="AI276">
        <v>80</v>
      </c>
      <c r="AJ276">
        <v>80</v>
      </c>
      <c r="AT276">
        <v>64.44</v>
      </c>
      <c r="AU276">
        <v>0</v>
      </c>
      <c r="AV276">
        <v>64.44</v>
      </c>
      <c r="AY276">
        <v>0</v>
      </c>
      <c r="AZ276">
        <v>0</v>
      </c>
      <c r="BA276">
        <v>80</v>
      </c>
      <c r="BB276">
        <v>69.63</v>
      </c>
      <c r="BC276">
        <v>24</v>
      </c>
      <c r="BD276">
        <v>62.67</v>
      </c>
      <c r="BE276">
        <f t="shared" si="9"/>
        <v>116</v>
      </c>
      <c r="BF276">
        <f t="shared" si="10"/>
        <v>72.666666666666657</v>
      </c>
      <c r="BG276" t="s">
        <v>758</v>
      </c>
    </row>
    <row r="277" spans="1:59" x14ac:dyDescent="0.3">
      <c r="A277" t="s">
        <v>200</v>
      </c>
      <c r="B277">
        <v>128876</v>
      </c>
      <c r="C277">
        <v>24351186</v>
      </c>
      <c r="D277" t="s">
        <v>201</v>
      </c>
      <c r="E277" t="s">
        <v>61</v>
      </c>
      <c r="F277" t="s">
        <v>77</v>
      </c>
      <c r="G277">
        <v>6.75</v>
      </c>
      <c r="H277">
        <v>10</v>
      </c>
      <c r="I277">
        <v>10</v>
      </c>
      <c r="J277" t="s">
        <v>63</v>
      </c>
      <c r="K277" t="s">
        <v>63</v>
      </c>
      <c r="L277" t="s">
        <v>63</v>
      </c>
      <c r="N277" t="s">
        <v>63</v>
      </c>
      <c r="O277" t="s">
        <v>63</v>
      </c>
      <c r="P277" t="s">
        <v>63</v>
      </c>
      <c r="Q277" t="s">
        <v>63</v>
      </c>
      <c r="S277" t="s">
        <v>63</v>
      </c>
      <c r="T277" t="s">
        <v>63</v>
      </c>
      <c r="U277" t="s">
        <v>63</v>
      </c>
      <c r="V277" t="s">
        <v>63</v>
      </c>
      <c r="X277" t="s">
        <v>63</v>
      </c>
      <c r="Y277" t="s">
        <v>63</v>
      </c>
      <c r="Z277" t="s">
        <v>63</v>
      </c>
      <c r="AA277" t="s">
        <v>63</v>
      </c>
      <c r="AC277" t="s">
        <v>63</v>
      </c>
      <c r="AD277" t="s">
        <v>63</v>
      </c>
      <c r="AE277">
        <v>107</v>
      </c>
      <c r="AF277">
        <v>10</v>
      </c>
      <c r="AG277">
        <v>89.17</v>
      </c>
      <c r="AH277">
        <v>89.17</v>
      </c>
      <c r="AI277">
        <v>89.17</v>
      </c>
      <c r="AJ277">
        <v>89.17</v>
      </c>
      <c r="AT277">
        <v>59.44</v>
      </c>
      <c r="AU277">
        <v>0</v>
      </c>
      <c r="AV277">
        <v>59.44</v>
      </c>
      <c r="AY277">
        <v>0</v>
      </c>
      <c r="AZ277">
        <v>0</v>
      </c>
      <c r="BA277">
        <v>89.17</v>
      </c>
      <c r="BB277">
        <v>69.349999999999994</v>
      </c>
      <c r="BC277">
        <v>26.75</v>
      </c>
      <c r="BD277">
        <v>62.42</v>
      </c>
      <c r="BE277">
        <f t="shared" si="9"/>
        <v>107</v>
      </c>
      <c r="BF277">
        <f t="shared" si="10"/>
        <v>72.416666666666657</v>
      </c>
      <c r="BG277" t="s">
        <v>758</v>
      </c>
    </row>
    <row r="278" spans="1:59" x14ac:dyDescent="0.3">
      <c r="A278" t="s">
        <v>582</v>
      </c>
      <c r="B278">
        <v>126732</v>
      </c>
      <c r="C278">
        <v>24322150</v>
      </c>
      <c r="D278" t="s">
        <v>583</v>
      </c>
      <c r="E278" t="s">
        <v>61</v>
      </c>
      <c r="F278" t="s">
        <v>62</v>
      </c>
      <c r="G278">
        <v>5.75</v>
      </c>
      <c r="H278">
        <v>10</v>
      </c>
      <c r="I278">
        <v>7</v>
      </c>
      <c r="J278" t="s">
        <v>63</v>
      </c>
      <c r="K278" t="s">
        <v>63</v>
      </c>
      <c r="L278" t="s">
        <v>63</v>
      </c>
      <c r="M278" t="s">
        <v>63</v>
      </c>
      <c r="O278" t="s">
        <v>63</v>
      </c>
      <c r="P278" t="s">
        <v>63</v>
      </c>
      <c r="Q278" t="s">
        <v>63</v>
      </c>
      <c r="R278" t="s">
        <v>63</v>
      </c>
      <c r="T278" t="s">
        <v>63</v>
      </c>
      <c r="U278" t="s">
        <v>63</v>
      </c>
      <c r="V278" t="s">
        <v>63</v>
      </c>
      <c r="W278" t="s">
        <v>63</v>
      </c>
      <c r="Y278" t="s">
        <v>63</v>
      </c>
      <c r="Z278" t="s">
        <v>63</v>
      </c>
      <c r="AA278" t="s">
        <v>63</v>
      </c>
      <c r="AB278" t="s">
        <v>63</v>
      </c>
      <c r="AD278" t="s">
        <v>63</v>
      </c>
      <c r="AE278">
        <v>119</v>
      </c>
      <c r="AF278">
        <v>10</v>
      </c>
      <c r="AG278">
        <v>75.83</v>
      </c>
      <c r="AH278">
        <v>75.83</v>
      </c>
      <c r="AI278">
        <v>75.83</v>
      </c>
      <c r="AJ278">
        <v>75.83</v>
      </c>
      <c r="AT278">
        <v>66.11</v>
      </c>
      <c r="AU278">
        <v>0</v>
      </c>
      <c r="AV278">
        <v>66.11</v>
      </c>
      <c r="AY278">
        <v>0</v>
      </c>
      <c r="AZ278">
        <v>0</v>
      </c>
      <c r="BA278">
        <v>75.83</v>
      </c>
      <c r="BB278">
        <v>69.349999999999994</v>
      </c>
      <c r="BC278">
        <v>22.75</v>
      </c>
      <c r="BD278">
        <v>62.42</v>
      </c>
      <c r="BE278">
        <f t="shared" si="9"/>
        <v>119</v>
      </c>
      <c r="BF278">
        <f t="shared" si="10"/>
        <v>72.416666666666657</v>
      </c>
      <c r="BG278" t="s">
        <v>758</v>
      </c>
    </row>
    <row r="279" spans="1:59" x14ac:dyDescent="0.3">
      <c r="A279" t="s">
        <v>250</v>
      </c>
      <c r="B279">
        <v>127346</v>
      </c>
      <c r="C279">
        <v>24330089</v>
      </c>
      <c r="D279" t="s">
        <v>251</v>
      </c>
      <c r="E279" t="s">
        <v>61</v>
      </c>
      <c r="F279" t="s">
        <v>77</v>
      </c>
      <c r="G279">
        <v>6.25</v>
      </c>
      <c r="H279">
        <v>9.75</v>
      </c>
      <c r="I279">
        <v>9</v>
      </c>
      <c r="J279" t="s">
        <v>63</v>
      </c>
      <c r="K279" t="s">
        <v>63</v>
      </c>
      <c r="L279" t="s">
        <v>63</v>
      </c>
      <c r="N279" t="s">
        <v>63</v>
      </c>
      <c r="O279" t="s">
        <v>63</v>
      </c>
      <c r="P279" t="s">
        <v>63</v>
      </c>
      <c r="Q279" t="s">
        <v>63</v>
      </c>
      <c r="S279" t="s">
        <v>63</v>
      </c>
      <c r="T279" t="s">
        <v>63</v>
      </c>
      <c r="U279" t="s">
        <v>63</v>
      </c>
      <c r="V279" t="s">
        <v>63</v>
      </c>
      <c r="X279" t="s">
        <v>63</v>
      </c>
      <c r="Y279" t="s">
        <v>63</v>
      </c>
      <c r="Z279" t="s">
        <v>63</v>
      </c>
      <c r="AA279" t="s">
        <v>63</v>
      </c>
      <c r="AC279" t="s">
        <v>63</v>
      </c>
      <c r="AD279" t="s">
        <v>63</v>
      </c>
      <c r="AE279">
        <v>112</v>
      </c>
      <c r="AF279">
        <v>10</v>
      </c>
      <c r="AG279">
        <v>83.33</v>
      </c>
      <c r="AH279">
        <v>83.33</v>
      </c>
      <c r="AI279">
        <v>83.33</v>
      </c>
      <c r="AJ279">
        <v>83.33</v>
      </c>
      <c r="AT279">
        <v>62.22</v>
      </c>
      <c r="AU279">
        <v>0</v>
      </c>
      <c r="AV279">
        <v>62.22</v>
      </c>
      <c r="AY279">
        <v>0</v>
      </c>
      <c r="AZ279">
        <v>0</v>
      </c>
      <c r="BA279">
        <v>83.33</v>
      </c>
      <c r="BB279">
        <v>69.260000000000005</v>
      </c>
      <c r="BC279">
        <v>25</v>
      </c>
      <c r="BD279">
        <v>62.33</v>
      </c>
      <c r="BE279">
        <f t="shared" si="9"/>
        <v>112</v>
      </c>
      <c r="BF279">
        <f t="shared" si="10"/>
        <v>72.333333333333343</v>
      </c>
      <c r="BG279" t="s">
        <v>758</v>
      </c>
    </row>
    <row r="280" spans="1:59" x14ac:dyDescent="0.3">
      <c r="A280" t="s">
        <v>362</v>
      </c>
      <c r="B280">
        <v>126148</v>
      </c>
      <c r="C280">
        <v>24312443</v>
      </c>
      <c r="D280" t="s">
        <v>363</v>
      </c>
      <c r="E280" t="s">
        <v>61</v>
      </c>
      <c r="F280" t="s">
        <v>62</v>
      </c>
      <c r="G280">
        <v>8</v>
      </c>
      <c r="H280">
        <v>8</v>
      </c>
      <c r="I280">
        <v>9</v>
      </c>
      <c r="J280" t="s">
        <v>63</v>
      </c>
      <c r="K280" t="s">
        <v>63</v>
      </c>
      <c r="L280" t="s">
        <v>63</v>
      </c>
      <c r="M280" t="s">
        <v>63</v>
      </c>
      <c r="O280" t="s">
        <v>63</v>
      </c>
      <c r="P280" t="s">
        <v>63</v>
      </c>
      <c r="Q280" t="s">
        <v>63</v>
      </c>
      <c r="R280" t="s">
        <v>63</v>
      </c>
      <c r="T280" t="s">
        <v>63</v>
      </c>
      <c r="U280" t="s">
        <v>63</v>
      </c>
      <c r="V280" t="s">
        <v>63</v>
      </c>
      <c r="W280" t="s">
        <v>63</v>
      </c>
      <c r="Y280" t="s">
        <v>63</v>
      </c>
      <c r="Z280" t="s">
        <v>63</v>
      </c>
      <c r="AA280" t="s">
        <v>63</v>
      </c>
      <c r="AB280" t="s">
        <v>63</v>
      </c>
      <c r="AD280" t="s">
        <v>63</v>
      </c>
      <c r="AE280">
        <v>112</v>
      </c>
      <c r="AF280">
        <v>10</v>
      </c>
      <c r="AG280">
        <v>83.33</v>
      </c>
      <c r="AH280">
        <v>83.33</v>
      </c>
      <c r="AI280">
        <v>83.33</v>
      </c>
      <c r="AJ280">
        <v>83.33</v>
      </c>
      <c r="AT280">
        <v>62.22</v>
      </c>
      <c r="AU280">
        <v>0</v>
      </c>
      <c r="AV280">
        <v>62.22</v>
      </c>
      <c r="AY280">
        <v>0</v>
      </c>
      <c r="AZ280">
        <v>0</v>
      </c>
      <c r="BA280">
        <v>83.33</v>
      </c>
      <c r="BB280">
        <v>69.260000000000005</v>
      </c>
      <c r="BC280">
        <v>25</v>
      </c>
      <c r="BD280">
        <v>62.33</v>
      </c>
      <c r="BE280">
        <f t="shared" si="9"/>
        <v>112</v>
      </c>
      <c r="BF280">
        <f t="shared" si="10"/>
        <v>72.333333333333343</v>
      </c>
      <c r="BG280" t="s">
        <v>758</v>
      </c>
    </row>
    <row r="281" spans="1:59" x14ac:dyDescent="0.3">
      <c r="A281" t="s">
        <v>636</v>
      </c>
      <c r="B281">
        <v>126215</v>
      </c>
      <c r="C281">
        <v>24312613</v>
      </c>
      <c r="D281" t="s">
        <v>637</v>
      </c>
      <c r="E281" t="s">
        <v>61</v>
      </c>
      <c r="F281" t="s">
        <v>69</v>
      </c>
      <c r="G281">
        <v>7.5</v>
      </c>
      <c r="H281">
        <v>10</v>
      </c>
      <c r="I281">
        <v>10</v>
      </c>
      <c r="J281" t="s">
        <v>63</v>
      </c>
      <c r="L281" t="s">
        <v>63</v>
      </c>
      <c r="M281" t="s">
        <v>63</v>
      </c>
      <c r="N281" t="s">
        <v>63</v>
      </c>
      <c r="O281" t="s">
        <v>63</v>
      </c>
      <c r="Q281" t="s">
        <v>63</v>
      </c>
      <c r="R281" t="s">
        <v>63</v>
      </c>
      <c r="S281" t="s">
        <v>63</v>
      </c>
      <c r="T281" t="s">
        <v>63</v>
      </c>
      <c r="V281" t="s">
        <v>63</v>
      </c>
      <c r="W281" t="s">
        <v>63</v>
      </c>
      <c r="X281" t="s">
        <v>63</v>
      </c>
      <c r="Y281" t="s">
        <v>63</v>
      </c>
      <c r="AA281" t="s">
        <v>63</v>
      </c>
      <c r="AB281" t="s">
        <v>63</v>
      </c>
      <c r="AC281" t="s">
        <v>63</v>
      </c>
      <c r="AD281" t="s">
        <v>63</v>
      </c>
      <c r="AE281">
        <v>104.5</v>
      </c>
      <c r="AF281">
        <v>10</v>
      </c>
      <c r="AG281">
        <v>91.67</v>
      </c>
      <c r="AH281">
        <v>91.67</v>
      </c>
      <c r="AI281">
        <v>91.67</v>
      </c>
      <c r="AJ281">
        <v>91.67</v>
      </c>
      <c r="AT281">
        <v>58.06</v>
      </c>
      <c r="AU281">
        <v>0</v>
      </c>
      <c r="AV281">
        <v>58.06</v>
      </c>
      <c r="AY281">
        <v>0</v>
      </c>
      <c r="AZ281">
        <v>0</v>
      </c>
      <c r="BA281">
        <v>91.67</v>
      </c>
      <c r="BB281">
        <v>69.260000000000005</v>
      </c>
      <c r="BC281">
        <v>27.5</v>
      </c>
      <c r="BD281">
        <v>62.33</v>
      </c>
      <c r="BE281">
        <f t="shared" si="9"/>
        <v>104.5</v>
      </c>
      <c r="BF281">
        <f t="shared" si="10"/>
        <v>72.333333333333343</v>
      </c>
      <c r="BG281" t="s">
        <v>758</v>
      </c>
    </row>
    <row r="282" spans="1:59" x14ac:dyDescent="0.3">
      <c r="A282" t="s">
        <v>406</v>
      </c>
      <c r="B282">
        <v>123374</v>
      </c>
      <c r="C282">
        <v>24276250</v>
      </c>
      <c r="D282" t="s">
        <v>407</v>
      </c>
      <c r="E282" t="s">
        <v>61</v>
      </c>
      <c r="F282" t="s">
        <v>77</v>
      </c>
      <c r="G282">
        <v>9.75</v>
      </c>
      <c r="H282">
        <v>10</v>
      </c>
      <c r="I282">
        <v>8.5</v>
      </c>
      <c r="J282" t="s">
        <v>63</v>
      </c>
      <c r="K282" t="s">
        <v>63</v>
      </c>
      <c r="L282" t="s">
        <v>63</v>
      </c>
      <c r="N282" t="s">
        <v>63</v>
      </c>
      <c r="O282" t="s">
        <v>63</v>
      </c>
      <c r="P282" t="s">
        <v>63</v>
      </c>
      <c r="Q282" t="s">
        <v>63</v>
      </c>
      <c r="S282" t="s">
        <v>63</v>
      </c>
      <c r="T282" t="s">
        <v>63</v>
      </c>
      <c r="U282" t="s">
        <v>63</v>
      </c>
      <c r="V282" t="s">
        <v>63</v>
      </c>
      <c r="X282" t="s">
        <v>63</v>
      </c>
      <c r="Y282" t="s">
        <v>63</v>
      </c>
      <c r="Z282" t="s">
        <v>63</v>
      </c>
      <c r="AA282" t="s">
        <v>63</v>
      </c>
      <c r="AC282" t="s">
        <v>63</v>
      </c>
      <c r="AD282" t="s">
        <v>63</v>
      </c>
      <c r="AE282">
        <v>102</v>
      </c>
      <c r="AF282">
        <v>10</v>
      </c>
      <c r="AG282">
        <v>94.17</v>
      </c>
      <c r="AH282">
        <v>94.17</v>
      </c>
      <c r="AI282">
        <v>94.17</v>
      </c>
      <c r="AJ282">
        <v>94.17</v>
      </c>
      <c r="AT282">
        <v>56.67</v>
      </c>
      <c r="AU282">
        <v>0</v>
      </c>
      <c r="AV282">
        <v>56.67</v>
      </c>
      <c r="AY282">
        <v>0</v>
      </c>
      <c r="AZ282">
        <v>0</v>
      </c>
      <c r="BA282">
        <v>94.17</v>
      </c>
      <c r="BB282">
        <v>69.17</v>
      </c>
      <c r="BC282">
        <v>28.25</v>
      </c>
      <c r="BD282">
        <v>62.25</v>
      </c>
      <c r="BE282">
        <f t="shared" si="9"/>
        <v>102</v>
      </c>
      <c r="BF282">
        <f t="shared" si="10"/>
        <v>72.25</v>
      </c>
      <c r="BG282" t="s">
        <v>758</v>
      </c>
    </row>
    <row r="283" spans="1:59" x14ac:dyDescent="0.3">
      <c r="A283" t="s">
        <v>142</v>
      </c>
      <c r="B283">
        <v>123193</v>
      </c>
      <c r="C283">
        <v>24275213</v>
      </c>
      <c r="D283" t="s">
        <v>143</v>
      </c>
      <c r="E283" t="s">
        <v>61</v>
      </c>
      <c r="F283" t="s">
        <v>77</v>
      </c>
      <c r="G283">
        <v>7.5</v>
      </c>
      <c r="H283">
        <v>8.5</v>
      </c>
      <c r="I283">
        <v>9.5</v>
      </c>
      <c r="J283" t="s">
        <v>63</v>
      </c>
      <c r="K283" t="s">
        <v>63</v>
      </c>
      <c r="L283" t="s">
        <v>63</v>
      </c>
      <c r="N283" t="s">
        <v>63</v>
      </c>
      <c r="O283" t="s">
        <v>63</v>
      </c>
      <c r="P283" t="s">
        <v>63</v>
      </c>
      <c r="Q283" t="s">
        <v>63</v>
      </c>
      <c r="S283" t="s">
        <v>63</v>
      </c>
      <c r="T283" t="s">
        <v>63</v>
      </c>
      <c r="U283" t="s">
        <v>63</v>
      </c>
      <c r="V283" t="s">
        <v>63</v>
      </c>
      <c r="X283" t="s">
        <v>63</v>
      </c>
      <c r="Y283" t="s">
        <v>63</v>
      </c>
      <c r="Z283" t="s">
        <v>63</v>
      </c>
      <c r="AA283" t="s">
        <v>63</v>
      </c>
      <c r="AC283" t="s">
        <v>63</v>
      </c>
      <c r="AD283" t="s">
        <v>63</v>
      </c>
      <c r="AE283">
        <v>110</v>
      </c>
      <c r="AF283">
        <v>10</v>
      </c>
      <c r="AG283">
        <v>85</v>
      </c>
      <c r="AH283">
        <v>85</v>
      </c>
      <c r="AI283">
        <v>85</v>
      </c>
      <c r="AJ283">
        <v>85</v>
      </c>
      <c r="AT283">
        <v>61.11</v>
      </c>
      <c r="AU283">
        <v>0</v>
      </c>
      <c r="AV283">
        <v>61.11</v>
      </c>
      <c r="AY283">
        <v>0</v>
      </c>
      <c r="AZ283">
        <v>0</v>
      </c>
      <c r="BA283">
        <v>85</v>
      </c>
      <c r="BB283">
        <v>69.069999999999993</v>
      </c>
      <c r="BC283">
        <v>25.5</v>
      </c>
      <c r="BD283">
        <v>62.17</v>
      </c>
      <c r="BE283">
        <f t="shared" si="9"/>
        <v>110</v>
      </c>
      <c r="BF283">
        <f t="shared" si="10"/>
        <v>72.166666666666657</v>
      </c>
      <c r="BG283" t="s">
        <v>758</v>
      </c>
    </row>
    <row r="284" spans="1:59" x14ac:dyDescent="0.3">
      <c r="A284" t="s">
        <v>728</v>
      </c>
      <c r="B284">
        <v>128471</v>
      </c>
      <c r="C284">
        <v>24344947</v>
      </c>
      <c r="D284" t="s">
        <v>729</v>
      </c>
      <c r="E284" t="s">
        <v>61</v>
      </c>
      <c r="F284" t="s">
        <v>77</v>
      </c>
      <c r="G284">
        <v>8</v>
      </c>
      <c r="H284">
        <v>10</v>
      </c>
      <c r="I284">
        <v>9</v>
      </c>
      <c r="J284" t="s">
        <v>63</v>
      </c>
      <c r="K284" t="s">
        <v>63</v>
      </c>
      <c r="L284" t="s">
        <v>63</v>
      </c>
      <c r="N284" t="s">
        <v>63</v>
      </c>
      <c r="O284" t="s">
        <v>63</v>
      </c>
      <c r="P284" t="s">
        <v>63</v>
      </c>
      <c r="Q284" t="s">
        <v>63</v>
      </c>
      <c r="S284" t="s">
        <v>63</v>
      </c>
      <c r="T284" t="s">
        <v>63</v>
      </c>
      <c r="U284" t="s">
        <v>63</v>
      </c>
      <c r="V284" t="s">
        <v>63</v>
      </c>
      <c r="X284" t="s">
        <v>63</v>
      </c>
      <c r="Y284" t="s">
        <v>63</v>
      </c>
      <c r="Z284" t="s">
        <v>63</v>
      </c>
      <c r="AA284" t="s">
        <v>63</v>
      </c>
      <c r="AC284" t="s">
        <v>63</v>
      </c>
      <c r="AD284" t="s">
        <v>63</v>
      </c>
      <c r="AE284">
        <v>105.5</v>
      </c>
      <c r="AF284">
        <v>10</v>
      </c>
      <c r="AG284">
        <v>90</v>
      </c>
      <c r="AH284">
        <v>90</v>
      </c>
      <c r="AI284">
        <v>90</v>
      </c>
      <c r="AJ284">
        <v>90</v>
      </c>
      <c r="AT284">
        <v>58.61</v>
      </c>
      <c r="AU284">
        <v>0</v>
      </c>
      <c r="AV284">
        <v>58.61</v>
      </c>
      <c r="AY284">
        <v>0</v>
      </c>
      <c r="AZ284">
        <v>0</v>
      </c>
      <c r="BA284">
        <v>90</v>
      </c>
      <c r="BB284">
        <v>69.069999999999993</v>
      </c>
      <c r="BC284">
        <v>27</v>
      </c>
      <c r="BD284">
        <v>62.17</v>
      </c>
      <c r="BE284">
        <f t="shared" si="9"/>
        <v>105.5</v>
      </c>
      <c r="BF284">
        <f t="shared" si="10"/>
        <v>72.166666666666657</v>
      </c>
      <c r="BG284" t="s">
        <v>758</v>
      </c>
    </row>
    <row r="285" spans="1:59" x14ac:dyDescent="0.3">
      <c r="A285" t="s">
        <v>328</v>
      </c>
      <c r="B285">
        <v>128509</v>
      </c>
      <c r="C285">
        <v>24345474</v>
      </c>
      <c r="D285" t="s">
        <v>329</v>
      </c>
      <c r="E285" t="s">
        <v>61</v>
      </c>
      <c r="F285" t="s">
        <v>77</v>
      </c>
      <c r="G285">
        <v>6.25</v>
      </c>
      <c r="H285">
        <v>10</v>
      </c>
      <c r="I285">
        <v>9</v>
      </c>
      <c r="J285" t="s">
        <v>63</v>
      </c>
      <c r="K285" t="s">
        <v>63</v>
      </c>
      <c r="L285" t="s">
        <v>63</v>
      </c>
      <c r="N285" t="s">
        <v>63</v>
      </c>
      <c r="O285" t="s">
        <v>63</v>
      </c>
      <c r="P285" t="s">
        <v>63</v>
      </c>
      <c r="Q285" t="s">
        <v>63</v>
      </c>
      <c r="S285" t="s">
        <v>63</v>
      </c>
      <c r="T285" t="s">
        <v>63</v>
      </c>
      <c r="U285" t="s">
        <v>63</v>
      </c>
      <c r="V285" t="s">
        <v>63</v>
      </c>
      <c r="X285" t="s">
        <v>63</v>
      </c>
      <c r="Y285" t="s">
        <v>63</v>
      </c>
      <c r="Z285" t="s">
        <v>63</v>
      </c>
      <c r="AA285" t="s">
        <v>63</v>
      </c>
      <c r="AC285" t="s">
        <v>63</v>
      </c>
      <c r="AD285" t="s">
        <v>63</v>
      </c>
      <c r="AE285">
        <v>110</v>
      </c>
      <c r="AF285">
        <v>10</v>
      </c>
      <c r="AG285">
        <v>84.17</v>
      </c>
      <c r="AH285">
        <v>84.17</v>
      </c>
      <c r="AI285">
        <v>84.17</v>
      </c>
      <c r="AJ285">
        <v>84.17</v>
      </c>
      <c r="AT285">
        <v>61.11</v>
      </c>
      <c r="AU285">
        <v>0</v>
      </c>
      <c r="AV285">
        <v>61.11</v>
      </c>
      <c r="AY285">
        <v>0</v>
      </c>
      <c r="AZ285">
        <v>0</v>
      </c>
      <c r="BA285">
        <v>84.17</v>
      </c>
      <c r="BB285">
        <v>68.8</v>
      </c>
      <c r="BC285">
        <v>25.25</v>
      </c>
      <c r="BD285">
        <v>61.92</v>
      </c>
      <c r="BE285">
        <f t="shared" si="9"/>
        <v>110</v>
      </c>
      <c r="BF285">
        <f t="shared" si="10"/>
        <v>71.916666666666657</v>
      </c>
      <c r="BG285" t="s">
        <v>758</v>
      </c>
    </row>
    <row r="286" spans="1:59" x14ac:dyDescent="0.3">
      <c r="A286" t="s">
        <v>430</v>
      </c>
      <c r="B286">
        <v>128281</v>
      </c>
      <c r="C286">
        <v>24342754</v>
      </c>
      <c r="D286" t="s">
        <v>431</v>
      </c>
      <c r="E286" t="s">
        <v>61</v>
      </c>
      <c r="F286" t="s">
        <v>66</v>
      </c>
      <c r="G286">
        <v>9</v>
      </c>
      <c r="H286">
        <v>10</v>
      </c>
      <c r="I286">
        <v>10</v>
      </c>
      <c r="K286" t="s">
        <v>63</v>
      </c>
      <c r="L286" t="s">
        <v>63</v>
      </c>
      <c r="M286" t="s">
        <v>63</v>
      </c>
      <c r="N286" t="s">
        <v>63</v>
      </c>
      <c r="P286" t="s">
        <v>63</v>
      </c>
      <c r="Q286" t="s">
        <v>63</v>
      </c>
      <c r="R286" t="s">
        <v>63</v>
      </c>
      <c r="S286" t="s">
        <v>63</v>
      </c>
      <c r="U286" t="s">
        <v>63</v>
      </c>
      <c r="V286" t="s">
        <v>63</v>
      </c>
      <c r="W286" t="s">
        <v>63</v>
      </c>
      <c r="X286" t="s">
        <v>63</v>
      </c>
      <c r="Z286" t="s">
        <v>63</v>
      </c>
      <c r="AA286" t="s">
        <v>63</v>
      </c>
      <c r="AB286" t="s">
        <v>63</v>
      </c>
      <c r="AC286" t="s">
        <v>63</v>
      </c>
      <c r="AD286" t="s">
        <v>63</v>
      </c>
      <c r="AE286">
        <v>98.5</v>
      </c>
      <c r="AF286">
        <v>10</v>
      </c>
      <c r="AG286">
        <v>96.67</v>
      </c>
      <c r="AH286">
        <v>96.67</v>
      </c>
      <c r="AI286">
        <v>96.67</v>
      </c>
      <c r="AJ286">
        <v>96.67</v>
      </c>
      <c r="AT286">
        <v>54.72</v>
      </c>
      <c r="AU286">
        <v>0</v>
      </c>
      <c r="AV286">
        <v>54.72</v>
      </c>
      <c r="AY286">
        <v>0</v>
      </c>
      <c r="AZ286">
        <v>0</v>
      </c>
      <c r="BA286">
        <v>96.67</v>
      </c>
      <c r="BB286">
        <v>68.7</v>
      </c>
      <c r="BC286">
        <v>29</v>
      </c>
      <c r="BD286">
        <v>61.83</v>
      </c>
      <c r="BE286">
        <f t="shared" si="9"/>
        <v>98.5</v>
      </c>
      <c r="BF286">
        <f t="shared" si="10"/>
        <v>71.833333333333343</v>
      </c>
      <c r="BG286" t="s">
        <v>758</v>
      </c>
    </row>
    <row r="287" spans="1:59" x14ac:dyDescent="0.3">
      <c r="A287" t="s">
        <v>374</v>
      </c>
      <c r="B287">
        <v>126223</v>
      </c>
      <c r="C287">
        <v>24312630</v>
      </c>
      <c r="D287" t="s">
        <v>375</v>
      </c>
      <c r="E287" t="s">
        <v>61</v>
      </c>
      <c r="F287" t="s">
        <v>66</v>
      </c>
      <c r="G287">
        <v>7.25</v>
      </c>
      <c r="H287">
        <v>9</v>
      </c>
      <c r="I287">
        <v>9.5</v>
      </c>
      <c r="K287" t="s">
        <v>63</v>
      </c>
      <c r="L287" t="s">
        <v>63</v>
      </c>
      <c r="M287" t="s">
        <v>63</v>
      </c>
      <c r="N287" t="s">
        <v>63</v>
      </c>
      <c r="P287" t="s">
        <v>63</v>
      </c>
      <c r="Q287" t="s">
        <v>63</v>
      </c>
      <c r="R287" t="s">
        <v>63</v>
      </c>
      <c r="S287" t="s">
        <v>63</v>
      </c>
      <c r="U287" t="s">
        <v>63</v>
      </c>
      <c r="V287" t="s">
        <v>63</v>
      </c>
      <c r="W287" t="s">
        <v>63</v>
      </c>
      <c r="X287" t="s">
        <v>63</v>
      </c>
      <c r="Z287" t="s">
        <v>63</v>
      </c>
      <c r="AA287" t="s">
        <v>63</v>
      </c>
      <c r="AB287" t="s">
        <v>63</v>
      </c>
      <c r="AC287" t="s">
        <v>63</v>
      </c>
      <c r="AD287" t="s">
        <v>63</v>
      </c>
      <c r="AE287">
        <v>108</v>
      </c>
      <c r="AF287">
        <v>10</v>
      </c>
      <c r="AG287">
        <v>85.83</v>
      </c>
      <c r="AH287">
        <v>85.83</v>
      </c>
      <c r="AI287">
        <v>85.83</v>
      </c>
      <c r="AJ287">
        <v>85.83</v>
      </c>
      <c r="AT287">
        <v>60</v>
      </c>
      <c r="AU287">
        <v>0</v>
      </c>
      <c r="AV287">
        <v>60</v>
      </c>
      <c r="AY287">
        <v>0</v>
      </c>
      <c r="AZ287">
        <v>0</v>
      </c>
      <c r="BA287">
        <v>85.83</v>
      </c>
      <c r="BB287">
        <v>68.61</v>
      </c>
      <c r="BC287">
        <v>25.75</v>
      </c>
      <c r="BD287">
        <v>61.75</v>
      </c>
      <c r="BE287">
        <f t="shared" si="9"/>
        <v>108</v>
      </c>
      <c r="BF287">
        <f t="shared" si="10"/>
        <v>71.75</v>
      </c>
      <c r="BG287" t="s">
        <v>758</v>
      </c>
    </row>
    <row r="288" spans="1:59" x14ac:dyDescent="0.3">
      <c r="A288" t="s">
        <v>606</v>
      </c>
      <c r="B288">
        <v>131369</v>
      </c>
      <c r="C288">
        <v>24362525</v>
      </c>
      <c r="D288" t="s">
        <v>607</v>
      </c>
      <c r="E288" t="s">
        <v>61</v>
      </c>
      <c r="F288" t="s">
        <v>72</v>
      </c>
      <c r="G288">
        <v>5.75</v>
      </c>
      <c r="H288">
        <v>10</v>
      </c>
      <c r="I288">
        <v>9.5</v>
      </c>
      <c r="J288" t="s">
        <v>63</v>
      </c>
      <c r="K288" t="s">
        <v>63</v>
      </c>
      <c r="M288" t="s">
        <v>63</v>
      </c>
      <c r="N288" t="s">
        <v>63</v>
      </c>
      <c r="O288" t="s">
        <v>63</v>
      </c>
      <c r="P288" t="s">
        <v>63</v>
      </c>
      <c r="R288" t="s">
        <v>63</v>
      </c>
      <c r="S288" t="s">
        <v>63</v>
      </c>
      <c r="T288" t="s">
        <v>63</v>
      </c>
      <c r="U288" t="s">
        <v>63</v>
      </c>
      <c r="W288" t="s">
        <v>63</v>
      </c>
      <c r="X288" t="s">
        <v>63</v>
      </c>
      <c r="Y288" t="s">
        <v>63</v>
      </c>
      <c r="Z288" t="s">
        <v>63</v>
      </c>
      <c r="AB288" t="s">
        <v>63</v>
      </c>
      <c r="AC288" t="s">
        <v>63</v>
      </c>
      <c r="AD288" t="s">
        <v>63</v>
      </c>
      <c r="AE288">
        <v>109.5</v>
      </c>
      <c r="AF288">
        <v>10</v>
      </c>
      <c r="AG288">
        <v>84.17</v>
      </c>
      <c r="AH288">
        <v>84.17</v>
      </c>
      <c r="AI288">
        <v>84.17</v>
      </c>
      <c r="AJ288">
        <v>84.17</v>
      </c>
      <c r="AT288">
        <v>60.83</v>
      </c>
      <c r="AU288">
        <v>0</v>
      </c>
      <c r="AV288">
        <v>60.83</v>
      </c>
      <c r="AY288">
        <v>0</v>
      </c>
      <c r="AZ288">
        <v>0</v>
      </c>
      <c r="BA288">
        <v>84.17</v>
      </c>
      <c r="BB288">
        <v>68.61</v>
      </c>
      <c r="BC288">
        <v>25.25</v>
      </c>
      <c r="BD288">
        <v>61.75</v>
      </c>
      <c r="BE288">
        <f t="shared" si="9"/>
        <v>109.5</v>
      </c>
      <c r="BF288">
        <f t="shared" si="10"/>
        <v>71.75</v>
      </c>
      <c r="BG288" t="s">
        <v>758</v>
      </c>
    </row>
    <row r="289" spans="1:59" x14ac:dyDescent="0.3">
      <c r="A289" t="s">
        <v>206</v>
      </c>
      <c r="B289">
        <v>128362</v>
      </c>
      <c r="C289">
        <v>24342295</v>
      </c>
      <c r="D289" t="s">
        <v>207</v>
      </c>
      <c r="E289" t="s">
        <v>61</v>
      </c>
      <c r="F289" t="s">
        <v>62</v>
      </c>
      <c r="G289">
        <v>7.25</v>
      </c>
      <c r="H289">
        <v>8.25</v>
      </c>
      <c r="I289">
        <v>9</v>
      </c>
      <c r="J289" t="s">
        <v>63</v>
      </c>
      <c r="K289" t="s">
        <v>63</v>
      </c>
      <c r="L289" t="s">
        <v>63</v>
      </c>
      <c r="M289" t="s">
        <v>63</v>
      </c>
      <c r="O289" t="s">
        <v>63</v>
      </c>
      <c r="P289" t="s">
        <v>63</v>
      </c>
      <c r="Q289" t="s">
        <v>63</v>
      </c>
      <c r="R289" t="s">
        <v>63</v>
      </c>
      <c r="T289" t="s">
        <v>63</v>
      </c>
      <c r="U289" t="s">
        <v>63</v>
      </c>
      <c r="V289" t="s">
        <v>63</v>
      </c>
      <c r="W289" t="s">
        <v>63</v>
      </c>
      <c r="Y289" t="s">
        <v>63</v>
      </c>
      <c r="Z289" t="s">
        <v>63</v>
      </c>
      <c r="AA289" t="s">
        <v>63</v>
      </c>
      <c r="AB289" t="s">
        <v>63</v>
      </c>
      <c r="AD289" t="s">
        <v>63</v>
      </c>
      <c r="AE289">
        <v>111.5</v>
      </c>
      <c r="AF289">
        <v>10</v>
      </c>
      <c r="AG289">
        <v>81.67</v>
      </c>
      <c r="AH289">
        <v>81.67</v>
      </c>
      <c r="AI289">
        <v>81.67</v>
      </c>
      <c r="AJ289">
        <v>81.67</v>
      </c>
      <c r="AT289">
        <v>61.94</v>
      </c>
      <c r="AU289">
        <v>0</v>
      </c>
      <c r="AV289">
        <v>61.94</v>
      </c>
      <c r="AY289">
        <v>0</v>
      </c>
      <c r="AZ289">
        <v>0</v>
      </c>
      <c r="BA289">
        <v>81.67</v>
      </c>
      <c r="BB289">
        <v>68.52</v>
      </c>
      <c r="BC289">
        <v>24.5</v>
      </c>
      <c r="BD289">
        <v>61.67</v>
      </c>
      <c r="BE289">
        <f t="shared" si="9"/>
        <v>111.5</v>
      </c>
      <c r="BF289">
        <f t="shared" si="10"/>
        <v>71.666666666666657</v>
      </c>
      <c r="BG289" t="s">
        <v>758</v>
      </c>
    </row>
    <row r="290" spans="1:59" x14ac:dyDescent="0.3">
      <c r="A290" t="s">
        <v>732</v>
      </c>
      <c r="B290">
        <v>130027</v>
      </c>
      <c r="C290">
        <v>24360315</v>
      </c>
      <c r="D290" t="s">
        <v>733</v>
      </c>
      <c r="E290" t="s">
        <v>61</v>
      </c>
      <c r="F290" t="s">
        <v>62</v>
      </c>
      <c r="G290">
        <v>6.25</v>
      </c>
      <c r="H290">
        <v>9.75</v>
      </c>
      <c r="I290">
        <v>9</v>
      </c>
      <c r="J290" t="s">
        <v>63</v>
      </c>
      <c r="K290" t="s">
        <v>63</v>
      </c>
      <c r="L290" t="s">
        <v>63</v>
      </c>
      <c r="M290" t="s">
        <v>63</v>
      </c>
      <c r="O290" t="s">
        <v>63</v>
      </c>
      <c r="P290" t="s">
        <v>63</v>
      </c>
      <c r="Q290" t="s">
        <v>63</v>
      </c>
      <c r="R290" t="s">
        <v>63</v>
      </c>
      <c r="T290" t="s">
        <v>63</v>
      </c>
      <c r="U290" t="s">
        <v>63</v>
      </c>
      <c r="V290" t="s">
        <v>63</v>
      </c>
      <c r="W290" t="s">
        <v>63</v>
      </c>
      <c r="Y290" t="s">
        <v>63</v>
      </c>
      <c r="Z290" t="s">
        <v>63</v>
      </c>
      <c r="AA290" t="s">
        <v>63</v>
      </c>
      <c r="AB290" t="s">
        <v>63</v>
      </c>
      <c r="AD290" t="s">
        <v>63</v>
      </c>
      <c r="AE290">
        <v>110</v>
      </c>
      <c r="AF290">
        <v>10</v>
      </c>
      <c r="AG290">
        <v>83.33</v>
      </c>
      <c r="AH290">
        <v>83.33</v>
      </c>
      <c r="AI290">
        <v>83.33</v>
      </c>
      <c r="AJ290">
        <v>83.33</v>
      </c>
      <c r="AT290">
        <v>61.11</v>
      </c>
      <c r="AU290">
        <v>0</v>
      </c>
      <c r="AV290">
        <v>61.11</v>
      </c>
      <c r="AY290">
        <v>0</v>
      </c>
      <c r="AZ290">
        <v>0</v>
      </c>
      <c r="BA290">
        <v>83.33</v>
      </c>
      <c r="BB290">
        <v>68.52</v>
      </c>
      <c r="BC290">
        <v>25</v>
      </c>
      <c r="BD290">
        <v>61.67</v>
      </c>
      <c r="BE290">
        <f t="shared" si="9"/>
        <v>110</v>
      </c>
      <c r="BF290">
        <f t="shared" si="10"/>
        <v>71.666666666666657</v>
      </c>
      <c r="BG290" t="s">
        <v>758</v>
      </c>
    </row>
    <row r="291" spans="1:59" x14ac:dyDescent="0.3">
      <c r="A291" t="s">
        <v>624</v>
      </c>
      <c r="B291">
        <v>122864</v>
      </c>
      <c r="C291">
        <v>24275638</v>
      </c>
      <c r="D291" t="s">
        <v>625</v>
      </c>
      <c r="E291" t="s">
        <v>61</v>
      </c>
      <c r="F291" t="s">
        <v>77</v>
      </c>
      <c r="G291">
        <v>7</v>
      </c>
      <c r="H291">
        <v>6.75</v>
      </c>
      <c r="I291">
        <v>8</v>
      </c>
      <c r="J291" t="s">
        <v>63</v>
      </c>
      <c r="K291" t="s">
        <v>63</v>
      </c>
      <c r="L291" t="s">
        <v>63</v>
      </c>
      <c r="N291" t="s">
        <v>63</v>
      </c>
      <c r="O291" t="s">
        <v>63</v>
      </c>
      <c r="P291" t="s">
        <v>63</v>
      </c>
      <c r="Q291" t="s">
        <v>63</v>
      </c>
      <c r="S291" t="s">
        <v>63</v>
      </c>
      <c r="T291" t="s">
        <v>63</v>
      </c>
      <c r="U291" t="s">
        <v>63</v>
      </c>
      <c r="V291" t="s">
        <v>63</v>
      </c>
      <c r="X291" t="s">
        <v>63</v>
      </c>
      <c r="Y291" t="s">
        <v>63</v>
      </c>
      <c r="Z291" t="s">
        <v>63</v>
      </c>
      <c r="AA291" t="s">
        <v>63</v>
      </c>
      <c r="AC291" t="s">
        <v>63</v>
      </c>
      <c r="AD291" t="s">
        <v>63</v>
      </c>
      <c r="AE291">
        <v>119.5</v>
      </c>
      <c r="AF291">
        <v>10</v>
      </c>
      <c r="AG291">
        <v>72.5</v>
      </c>
      <c r="AH291">
        <v>72.5</v>
      </c>
      <c r="AI291">
        <v>72.5</v>
      </c>
      <c r="AJ291">
        <v>72.5</v>
      </c>
      <c r="AT291">
        <v>66.39</v>
      </c>
      <c r="AU291">
        <v>0</v>
      </c>
      <c r="AV291">
        <v>66.39</v>
      </c>
      <c r="AY291">
        <v>0</v>
      </c>
      <c r="AZ291">
        <v>0</v>
      </c>
      <c r="BA291">
        <v>72.5</v>
      </c>
      <c r="BB291">
        <v>68.430000000000007</v>
      </c>
      <c r="BC291">
        <v>21.75</v>
      </c>
      <c r="BD291">
        <v>61.58</v>
      </c>
      <c r="BE291">
        <f t="shared" si="9"/>
        <v>119.5</v>
      </c>
      <c r="BF291">
        <f t="shared" si="10"/>
        <v>71.583333333333343</v>
      </c>
      <c r="BG291" t="s">
        <v>758</v>
      </c>
    </row>
    <row r="292" spans="1:59" x14ac:dyDescent="0.3">
      <c r="A292" t="s">
        <v>212</v>
      </c>
      <c r="B292">
        <v>131560</v>
      </c>
      <c r="C292">
        <v>24364021</v>
      </c>
      <c r="D292" t="s">
        <v>213</v>
      </c>
      <c r="E292" t="s">
        <v>61</v>
      </c>
      <c r="F292" t="s">
        <v>66</v>
      </c>
      <c r="G292">
        <v>9</v>
      </c>
      <c r="H292">
        <v>10</v>
      </c>
      <c r="I292">
        <v>9</v>
      </c>
      <c r="K292" t="s">
        <v>63</v>
      </c>
      <c r="L292" t="s">
        <v>63</v>
      </c>
      <c r="M292" t="s">
        <v>63</v>
      </c>
      <c r="N292" t="s">
        <v>63</v>
      </c>
      <c r="P292" t="s">
        <v>63</v>
      </c>
      <c r="Q292" t="s">
        <v>63</v>
      </c>
      <c r="R292" t="s">
        <v>63</v>
      </c>
      <c r="S292" t="s">
        <v>63</v>
      </c>
      <c r="U292" t="s">
        <v>63</v>
      </c>
      <c r="V292" t="s">
        <v>63</v>
      </c>
      <c r="W292" t="s">
        <v>63</v>
      </c>
      <c r="X292" t="s">
        <v>63</v>
      </c>
      <c r="Z292" t="s">
        <v>63</v>
      </c>
      <c r="AA292" t="s">
        <v>63</v>
      </c>
      <c r="AB292" t="s">
        <v>63</v>
      </c>
      <c r="AC292" t="s">
        <v>63</v>
      </c>
      <c r="AD292" t="s">
        <v>63</v>
      </c>
      <c r="AE292">
        <v>100.5</v>
      </c>
      <c r="AF292">
        <v>10</v>
      </c>
      <c r="AG292">
        <v>93.33</v>
      </c>
      <c r="AH292">
        <v>93.33</v>
      </c>
      <c r="AI292">
        <v>93.33</v>
      </c>
      <c r="AJ292">
        <v>93.33</v>
      </c>
      <c r="AT292">
        <v>55.83</v>
      </c>
      <c r="AU292">
        <v>0</v>
      </c>
      <c r="AV292">
        <v>55.83</v>
      </c>
      <c r="AY292">
        <v>0</v>
      </c>
      <c r="AZ292">
        <v>0</v>
      </c>
      <c r="BA292">
        <v>93.33</v>
      </c>
      <c r="BB292">
        <v>68.33</v>
      </c>
      <c r="BC292">
        <v>28</v>
      </c>
      <c r="BD292">
        <v>61.5</v>
      </c>
      <c r="BE292">
        <f t="shared" si="9"/>
        <v>100.5</v>
      </c>
      <c r="BF292">
        <f t="shared" si="10"/>
        <v>71.5</v>
      </c>
      <c r="BG292" t="s">
        <v>758</v>
      </c>
    </row>
    <row r="293" spans="1:59" x14ac:dyDescent="0.3">
      <c r="A293" t="s">
        <v>94</v>
      </c>
      <c r="B293">
        <v>126389</v>
      </c>
      <c r="C293">
        <v>24314857</v>
      </c>
      <c r="D293" t="s">
        <v>95</v>
      </c>
      <c r="E293" t="s">
        <v>61</v>
      </c>
      <c r="F293" t="s">
        <v>69</v>
      </c>
      <c r="G293">
        <v>7</v>
      </c>
      <c r="H293">
        <v>9.75</v>
      </c>
      <c r="I293">
        <v>9.5</v>
      </c>
      <c r="J293" t="s">
        <v>63</v>
      </c>
      <c r="L293" t="s">
        <v>63</v>
      </c>
      <c r="M293" t="s">
        <v>63</v>
      </c>
      <c r="N293" t="s">
        <v>63</v>
      </c>
      <c r="O293" t="s">
        <v>63</v>
      </c>
      <c r="Q293" t="s">
        <v>63</v>
      </c>
      <c r="R293" t="s">
        <v>63</v>
      </c>
      <c r="S293" t="s">
        <v>63</v>
      </c>
      <c r="T293" t="s">
        <v>63</v>
      </c>
      <c r="V293" t="s">
        <v>63</v>
      </c>
      <c r="W293" t="s">
        <v>63</v>
      </c>
      <c r="X293" t="s">
        <v>63</v>
      </c>
      <c r="Y293" t="s">
        <v>63</v>
      </c>
      <c r="AA293" t="s">
        <v>63</v>
      </c>
      <c r="AB293" t="s">
        <v>63</v>
      </c>
      <c r="AC293" t="s">
        <v>63</v>
      </c>
      <c r="AD293" t="s">
        <v>63</v>
      </c>
      <c r="AE293">
        <v>105</v>
      </c>
      <c r="AF293">
        <v>10</v>
      </c>
      <c r="AG293">
        <v>87.5</v>
      </c>
      <c r="AH293">
        <v>87.5</v>
      </c>
      <c r="AI293">
        <v>87.5</v>
      </c>
      <c r="AJ293">
        <v>87.5</v>
      </c>
      <c r="AT293">
        <v>58.33</v>
      </c>
      <c r="AU293">
        <v>0</v>
      </c>
      <c r="AV293">
        <v>58.33</v>
      </c>
      <c r="AY293">
        <v>0</v>
      </c>
      <c r="AZ293">
        <v>0</v>
      </c>
      <c r="BA293">
        <v>87.5</v>
      </c>
      <c r="BB293">
        <v>68.06</v>
      </c>
      <c r="BC293">
        <v>26.25</v>
      </c>
      <c r="BD293">
        <v>61.25</v>
      </c>
      <c r="BE293">
        <f t="shared" si="9"/>
        <v>105</v>
      </c>
      <c r="BF293">
        <f t="shared" si="10"/>
        <v>71.25</v>
      </c>
      <c r="BG293" t="s">
        <v>758</v>
      </c>
    </row>
    <row r="294" spans="1:59" x14ac:dyDescent="0.3">
      <c r="A294" t="s">
        <v>64</v>
      </c>
      <c r="B294">
        <v>123376</v>
      </c>
      <c r="C294">
        <v>24276046</v>
      </c>
      <c r="D294" t="s">
        <v>65</v>
      </c>
      <c r="E294" t="s">
        <v>61</v>
      </c>
      <c r="F294" t="s">
        <v>66</v>
      </c>
      <c r="G294">
        <v>6</v>
      </c>
      <c r="H294">
        <v>9</v>
      </c>
      <c r="I294">
        <v>8</v>
      </c>
      <c r="K294" t="s">
        <v>63</v>
      </c>
      <c r="L294" t="s">
        <v>63</v>
      </c>
      <c r="M294" t="s">
        <v>63</v>
      </c>
      <c r="N294" t="s">
        <v>63</v>
      </c>
      <c r="P294" t="s">
        <v>63</v>
      </c>
      <c r="Q294" t="s">
        <v>63</v>
      </c>
      <c r="R294" t="s">
        <v>63</v>
      </c>
      <c r="S294" t="s">
        <v>63</v>
      </c>
      <c r="U294" t="s">
        <v>63</v>
      </c>
      <c r="V294" t="s">
        <v>63</v>
      </c>
      <c r="W294" t="s">
        <v>63</v>
      </c>
      <c r="X294" t="s">
        <v>63</v>
      </c>
      <c r="Z294" t="s">
        <v>63</v>
      </c>
      <c r="AA294" t="s">
        <v>63</v>
      </c>
      <c r="AB294" t="s">
        <v>63</v>
      </c>
      <c r="AC294" t="s">
        <v>63</v>
      </c>
      <c r="AD294" t="s">
        <v>63</v>
      </c>
      <c r="AE294">
        <v>114.5</v>
      </c>
      <c r="AF294">
        <v>10</v>
      </c>
      <c r="AG294">
        <v>76.67</v>
      </c>
      <c r="AH294">
        <v>76.67</v>
      </c>
      <c r="AI294">
        <v>76.67</v>
      </c>
      <c r="AJ294">
        <v>76.67</v>
      </c>
      <c r="AT294">
        <v>63.61</v>
      </c>
      <c r="AU294">
        <v>0</v>
      </c>
      <c r="AV294">
        <v>63.61</v>
      </c>
      <c r="AY294">
        <v>0</v>
      </c>
      <c r="AZ294">
        <v>0</v>
      </c>
      <c r="BA294">
        <v>76.67</v>
      </c>
      <c r="BB294">
        <v>67.959999999999994</v>
      </c>
      <c r="BC294">
        <v>23</v>
      </c>
      <c r="BD294">
        <v>61.17</v>
      </c>
      <c r="BE294">
        <f t="shared" si="9"/>
        <v>114.5</v>
      </c>
      <c r="BF294">
        <f t="shared" si="10"/>
        <v>71.166666666666657</v>
      </c>
      <c r="BG294" t="s">
        <v>758</v>
      </c>
    </row>
    <row r="295" spans="1:59" x14ac:dyDescent="0.3">
      <c r="A295" t="s">
        <v>270</v>
      </c>
      <c r="B295">
        <v>106726</v>
      </c>
      <c r="C295">
        <v>24069666</v>
      </c>
      <c r="D295" t="s">
        <v>271</v>
      </c>
      <c r="E295" t="s">
        <v>61</v>
      </c>
      <c r="F295" t="s">
        <v>66</v>
      </c>
      <c r="G295">
        <v>8.5</v>
      </c>
      <c r="H295">
        <v>7.5</v>
      </c>
      <c r="I295">
        <v>3</v>
      </c>
      <c r="K295" t="s">
        <v>63</v>
      </c>
      <c r="L295" t="s">
        <v>63</v>
      </c>
      <c r="M295" t="s">
        <v>63</v>
      </c>
      <c r="N295" t="s">
        <v>63</v>
      </c>
      <c r="P295" t="s">
        <v>63</v>
      </c>
      <c r="Q295" t="s">
        <v>63</v>
      </c>
      <c r="R295" t="s">
        <v>63</v>
      </c>
      <c r="S295" t="s">
        <v>63</v>
      </c>
      <c r="U295" t="s">
        <v>63</v>
      </c>
      <c r="V295" t="s">
        <v>63</v>
      </c>
      <c r="W295" t="s">
        <v>63</v>
      </c>
      <c r="X295" t="s">
        <v>63</v>
      </c>
      <c r="Z295" t="s">
        <v>63</v>
      </c>
      <c r="AA295" t="s">
        <v>63</v>
      </c>
      <c r="AB295" t="s">
        <v>63</v>
      </c>
      <c r="AC295" t="s">
        <v>63</v>
      </c>
      <c r="AD295" t="s">
        <v>63</v>
      </c>
      <c r="AE295">
        <v>126.5</v>
      </c>
      <c r="AF295">
        <v>10</v>
      </c>
      <c r="AG295">
        <v>63.33</v>
      </c>
      <c r="AH295">
        <v>63.33</v>
      </c>
      <c r="AI295">
        <v>63.33</v>
      </c>
      <c r="AJ295">
        <v>63.33</v>
      </c>
      <c r="AT295">
        <v>70.28</v>
      </c>
      <c r="AU295">
        <v>0</v>
      </c>
      <c r="AV295">
        <v>70.28</v>
      </c>
      <c r="AY295">
        <v>0</v>
      </c>
      <c r="AZ295">
        <v>0</v>
      </c>
      <c r="BA295">
        <v>63.33</v>
      </c>
      <c r="BB295">
        <v>67.959999999999994</v>
      </c>
      <c r="BC295">
        <v>19</v>
      </c>
      <c r="BD295">
        <v>61.17</v>
      </c>
      <c r="BE295">
        <f t="shared" si="9"/>
        <v>126.5</v>
      </c>
      <c r="BF295">
        <f t="shared" si="10"/>
        <v>71.166666666666657</v>
      </c>
      <c r="BG295" t="s">
        <v>758</v>
      </c>
    </row>
    <row r="296" spans="1:59" x14ac:dyDescent="0.3">
      <c r="A296" t="s">
        <v>534</v>
      </c>
      <c r="B296">
        <v>123004</v>
      </c>
      <c r="C296">
        <v>24275043</v>
      </c>
      <c r="D296" t="s">
        <v>535</v>
      </c>
      <c r="E296" t="s">
        <v>61</v>
      </c>
      <c r="F296" t="s">
        <v>62</v>
      </c>
      <c r="G296">
        <v>6.5</v>
      </c>
      <c r="H296">
        <v>10</v>
      </c>
      <c r="I296">
        <v>9.5</v>
      </c>
      <c r="J296" t="s">
        <v>63</v>
      </c>
      <c r="K296" t="s">
        <v>63</v>
      </c>
      <c r="L296" t="s">
        <v>63</v>
      </c>
      <c r="M296" t="s">
        <v>63</v>
      </c>
      <c r="O296" t="s">
        <v>63</v>
      </c>
      <c r="P296" t="s">
        <v>63</v>
      </c>
      <c r="Q296" t="s">
        <v>63</v>
      </c>
      <c r="R296" t="s">
        <v>63</v>
      </c>
      <c r="T296" t="s">
        <v>63</v>
      </c>
      <c r="U296" t="s">
        <v>63</v>
      </c>
      <c r="V296" t="s">
        <v>63</v>
      </c>
      <c r="W296" t="s">
        <v>63</v>
      </c>
      <c r="Y296" t="s">
        <v>63</v>
      </c>
      <c r="Z296" t="s">
        <v>63</v>
      </c>
      <c r="AA296" t="s">
        <v>63</v>
      </c>
      <c r="AB296" t="s">
        <v>63</v>
      </c>
      <c r="AD296" t="s">
        <v>63</v>
      </c>
      <c r="AE296">
        <v>105.5</v>
      </c>
      <c r="AF296">
        <v>10</v>
      </c>
      <c r="AG296">
        <v>86.67</v>
      </c>
      <c r="AH296">
        <v>86.67</v>
      </c>
      <c r="AI296">
        <v>86.67</v>
      </c>
      <c r="AJ296">
        <v>86.67</v>
      </c>
      <c r="AT296">
        <v>58.61</v>
      </c>
      <c r="AU296">
        <v>0</v>
      </c>
      <c r="AV296">
        <v>58.61</v>
      </c>
      <c r="AY296">
        <v>0</v>
      </c>
      <c r="AZ296">
        <v>0</v>
      </c>
      <c r="BA296">
        <v>86.67</v>
      </c>
      <c r="BB296">
        <v>67.959999999999994</v>
      </c>
      <c r="BC296">
        <v>26</v>
      </c>
      <c r="BD296">
        <v>61.17</v>
      </c>
      <c r="BE296">
        <f t="shared" si="9"/>
        <v>105.5</v>
      </c>
      <c r="BF296">
        <f t="shared" si="10"/>
        <v>71.166666666666657</v>
      </c>
      <c r="BG296" t="s">
        <v>758</v>
      </c>
    </row>
    <row r="297" spans="1:59" x14ac:dyDescent="0.3">
      <c r="A297" t="s">
        <v>726</v>
      </c>
      <c r="B297">
        <v>107377</v>
      </c>
      <c r="C297">
        <v>24082450</v>
      </c>
      <c r="D297" t="s">
        <v>727</v>
      </c>
      <c r="E297" t="s">
        <v>61</v>
      </c>
      <c r="F297" t="s">
        <v>62</v>
      </c>
      <c r="G297">
        <v>7.5</v>
      </c>
      <c r="H297">
        <v>10</v>
      </c>
      <c r="I297">
        <v>10</v>
      </c>
      <c r="J297" t="s">
        <v>63</v>
      </c>
      <c r="K297" t="s">
        <v>63</v>
      </c>
      <c r="L297" t="s">
        <v>63</v>
      </c>
      <c r="M297" t="s">
        <v>63</v>
      </c>
      <c r="O297" t="s">
        <v>63</v>
      </c>
      <c r="P297" t="s">
        <v>63</v>
      </c>
      <c r="Q297" t="s">
        <v>63</v>
      </c>
      <c r="R297" t="s">
        <v>63</v>
      </c>
      <c r="T297" t="s">
        <v>63</v>
      </c>
      <c r="U297" t="s">
        <v>63</v>
      </c>
      <c r="V297" t="s">
        <v>63</v>
      </c>
      <c r="W297" t="s">
        <v>63</v>
      </c>
      <c r="Y297" t="s">
        <v>63</v>
      </c>
      <c r="Z297" t="s">
        <v>63</v>
      </c>
      <c r="AA297" t="s">
        <v>63</v>
      </c>
      <c r="AB297" t="s">
        <v>63</v>
      </c>
      <c r="AD297" t="s">
        <v>63</v>
      </c>
      <c r="AE297">
        <v>101</v>
      </c>
      <c r="AF297">
        <v>10</v>
      </c>
      <c r="AG297">
        <v>91.67</v>
      </c>
      <c r="AH297">
        <v>91.67</v>
      </c>
      <c r="AI297">
        <v>91.67</v>
      </c>
      <c r="AJ297">
        <v>91.67</v>
      </c>
      <c r="AT297">
        <v>56.11</v>
      </c>
      <c r="AU297">
        <v>0</v>
      </c>
      <c r="AV297">
        <v>56.11</v>
      </c>
      <c r="AY297">
        <v>0</v>
      </c>
      <c r="AZ297">
        <v>0</v>
      </c>
      <c r="BA297">
        <v>91.67</v>
      </c>
      <c r="BB297">
        <v>67.959999999999994</v>
      </c>
      <c r="BC297">
        <v>27.5</v>
      </c>
      <c r="BD297">
        <v>61.17</v>
      </c>
      <c r="BE297">
        <f t="shared" si="9"/>
        <v>101</v>
      </c>
      <c r="BF297">
        <f t="shared" si="10"/>
        <v>71.166666666666657</v>
      </c>
      <c r="BG297" t="s">
        <v>758</v>
      </c>
    </row>
    <row r="298" spans="1:59" x14ac:dyDescent="0.3">
      <c r="A298" t="s">
        <v>156</v>
      </c>
      <c r="B298">
        <v>133719</v>
      </c>
      <c r="C298">
        <v>24383452</v>
      </c>
      <c r="D298" t="s">
        <v>157</v>
      </c>
      <c r="E298" t="s">
        <v>61</v>
      </c>
      <c r="F298" t="s">
        <v>77</v>
      </c>
      <c r="G298">
        <v>8</v>
      </c>
      <c r="H298">
        <v>10</v>
      </c>
      <c r="I298">
        <v>9</v>
      </c>
      <c r="J298" t="s">
        <v>63</v>
      </c>
      <c r="K298" t="s">
        <v>63</v>
      </c>
      <c r="L298" t="s">
        <v>63</v>
      </c>
      <c r="N298" t="s">
        <v>63</v>
      </c>
      <c r="O298" t="s">
        <v>63</v>
      </c>
      <c r="P298" t="s">
        <v>63</v>
      </c>
      <c r="Q298" t="s">
        <v>63</v>
      </c>
      <c r="S298" t="s">
        <v>63</v>
      </c>
      <c r="T298" t="s">
        <v>63</v>
      </c>
      <c r="U298" t="s">
        <v>63</v>
      </c>
      <c r="V298" t="s">
        <v>63</v>
      </c>
      <c r="X298" t="s">
        <v>63</v>
      </c>
      <c r="Y298" t="s">
        <v>63</v>
      </c>
      <c r="Z298" t="s">
        <v>63</v>
      </c>
      <c r="AA298" t="s">
        <v>63</v>
      </c>
      <c r="AC298" t="s">
        <v>63</v>
      </c>
      <c r="AD298" t="s">
        <v>63</v>
      </c>
      <c r="AE298">
        <v>101.5</v>
      </c>
      <c r="AF298">
        <v>10</v>
      </c>
      <c r="AG298">
        <v>90</v>
      </c>
      <c r="AH298">
        <v>90</v>
      </c>
      <c r="AI298">
        <v>90</v>
      </c>
      <c r="AJ298">
        <v>90</v>
      </c>
      <c r="AT298">
        <v>56.39</v>
      </c>
      <c r="AU298">
        <v>0</v>
      </c>
      <c r="AV298">
        <v>56.39</v>
      </c>
      <c r="AY298">
        <v>0</v>
      </c>
      <c r="AZ298">
        <v>0</v>
      </c>
      <c r="BA298">
        <v>90</v>
      </c>
      <c r="BB298">
        <v>67.59</v>
      </c>
      <c r="BC298">
        <v>27</v>
      </c>
      <c r="BD298">
        <v>60.83</v>
      </c>
      <c r="BE298">
        <f t="shared" si="9"/>
        <v>101.5</v>
      </c>
      <c r="BF298">
        <f t="shared" si="10"/>
        <v>70.833333333333343</v>
      </c>
      <c r="BG298" t="s">
        <v>758</v>
      </c>
    </row>
    <row r="299" spans="1:59" x14ac:dyDescent="0.3">
      <c r="A299" t="s">
        <v>566</v>
      </c>
      <c r="B299">
        <v>122982</v>
      </c>
      <c r="C299">
        <v>24275791</v>
      </c>
      <c r="D299" t="s">
        <v>567</v>
      </c>
      <c r="E299" t="s">
        <v>61</v>
      </c>
      <c r="F299" t="s">
        <v>69</v>
      </c>
      <c r="G299">
        <v>5.5</v>
      </c>
      <c r="H299">
        <v>10</v>
      </c>
      <c r="I299">
        <v>9</v>
      </c>
      <c r="J299" t="s">
        <v>63</v>
      </c>
      <c r="L299" t="s">
        <v>63</v>
      </c>
      <c r="M299" t="s">
        <v>63</v>
      </c>
      <c r="N299" t="s">
        <v>63</v>
      </c>
      <c r="O299" t="s">
        <v>63</v>
      </c>
      <c r="Q299" t="s">
        <v>63</v>
      </c>
      <c r="R299" t="s">
        <v>63</v>
      </c>
      <c r="S299" t="s">
        <v>63</v>
      </c>
      <c r="T299" t="s">
        <v>63</v>
      </c>
      <c r="V299" t="s">
        <v>63</v>
      </c>
      <c r="W299" t="s">
        <v>63</v>
      </c>
      <c r="X299" t="s">
        <v>63</v>
      </c>
      <c r="Y299" t="s">
        <v>63</v>
      </c>
      <c r="AA299" t="s">
        <v>63</v>
      </c>
      <c r="AB299" t="s">
        <v>63</v>
      </c>
      <c r="AC299" t="s">
        <v>63</v>
      </c>
      <c r="AD299" t="s">
        <v>63</v>
      </c>
      <c r="AE299">
        <v>109</v>
      </c>
      <c r="AF299">
        <v>10</v>
      </c>
      <c r="AG299">
        <v>81.67</v>
      </c>
      <c r="AH299">
        <v>81.67</v>
      </c>
      <c r="AI299">
        <v>81.67</v>
      </c>
      <c r="AJ299">
        <v>81.67</v>
      </c>
      <c r="AT299">
        <v>60.56</v>
      </c>
      <c r="AU299">
        <v>0</v>
      </c>
      <c r="AV299">
        <v>60.56</v>
      </c>
      <c r="AY299">
        <v>0</v>
      </c>
      <c r="AZ299">
        <v>0</v>
      </c>
      <c r="BA299">
        <v>81.67</v>
      </c>
      <c r="BB299">
        <v>67.59</v>
      </c>
      <c r="BC299">
        <v>24.5</v>
      </c>
      <c r="BD299">
        <v>60.83</v>
      </c>
      <c r="BE299">
        <f t="shared" si="9"/>
        <v>109</v>
      </c>
      <c r="BF299">
        <f t="shared" si="10"/>
        <v>70.833333333333343</v>
      </c>
      <c r="BG299" t="s">
        <v>758</v>
      </c>
    </row>
    <row r="300" spans="1:59" x14ac:dyDescent="0.3">
      <c r="A300" t="s">
        <v>366</v>
      </c>
      <c r="B300">
        <v>123158</v>
      </c>
      <c r="C300">
        <v>24276726</v>
      </c>
      <c r="D300" t="s">
        <v>367</v>
      </c>
      <c r="E300" t="s">
        <v>61</v>
      </c>
      <c r="F300" t="s">
        <v>77</v>
      </c>
      <c r="G300">
        <v>8</v>
      </c>
      <c r="H300">
        <v>6.25</v>
      </c>
      <c r="I300">
        <v>10</v>
      </c>
      <c r="J300" t="s">
        <v>63</v>
      </c>
      <c r="K300" t="s">
        <v>63</v>
      </c>
      <c r="L300" t="s">
        <v>63</v>
      </c>
      <c r="N300" t="s">
        <v>63</v>
      </c>
      <c r="O300" t="s">
        <v>63</v>
      </c>
      <c r="P300" t="s">
        <v>63</v>
      </c>
      <c r="Q300" t="s">
        <v>63</v>
      </c>
      <c r="S300" t="s">
        <v>63</v>
      </c>
      <c r="T300" t="s">
        <v>63</v>
      </c>
      <c r="U300" t="s">
        <v>63</v>
      </c>
      <c r="V300" t="s">
        <v>63</v>
      </c>
      <c r="X300" t="s">
        <v>63</v>
      </c>
      <c r="Y300" t="s">
        <v>63</v>
      </c>
      <c r="Z300" t="s">
        <v>63</v>
      </c>
      <c r="AA300" t="s">
        <v>63</v>
      </c>
      <c r="AC300" t="s">
        <v>63</v>
      </c>
      <c r="AD300" t="s">
        <v>63</v>
      </c>
      <c r="AE300">
        <v>109.5</v>
      </c>
      <c r="AF300">
        <v>10</v>
      </c>
      <c r="AG300">
        <v>80.83</v>
      </c>
      <c r="AH300">
        <v>80.83</v>
      </c>
      <c r="AI300">
        <v>80.83</v>
      </c>
      <c r="AJ300">
        <v>80.83</v>
      </c>
      <c r="AT300">
        <v>60.83</v>
      </c>
      <c r="AU300">
        <v>0</v>
      </c>
      <c r="AV300">
        <v>60.83</v>
      </c>
      <c r="AY300">
        <v>0</v>
      </c>
      <c r="AZ300">
        <v>0</v>
      </c>
      <c r="BA300">
        <v>80.83</v>
      </c>
      <c r="BB300">
        <v>67.5</v>
      </c>
      <c r="BC300">
        <v>24.25</v>
      </c>
      <c r="BD300">
        <v>60.75</v>
      </c>
      <c r="BE300">
        <f t="shared" si="9"/>
        <v>109.5</v>
      </c>
      <c r="BF300">
        <f t="shared" si="10"/>
        <v>70.75</v>
      </c>
      <c r="BG300" t="s">
        <v>758</v>
      </c>
    </row>
    <row r="301" spans="1:59" x14ac:dyDescent="0.3">
      <c r="A301" t="s">
        <v>148</v>
      </c>
      <c r="B301">
        <v>85083</v>
      </c>
      <c r="C301">
        <v>17509694</v>
      </c>
      <c r="D301" t="s">
        <v>149</v>
      </c>
      <c r="E301" t="s">
        <v>61</v>
      </c>
      <c r="F301" t="s">
        <v>77</v>
      </c>
      <c r="G301">
        <v>6.25</v>
      </c>
      <c r="H301">
        <v>7.75</v>
      </c>
      <c r="I301">
        <v>8</v>
      </c>
      <c r="J301" t="s">
        <v>63</v>
      </c>
      <c r="K301" t="s">
        <v>63</v>
      </c>
      <c r="L301" t="s">
        <v>63</v>
      </c>
      <c r="N301" t="s">
        <v>63</v>
      </c>
      <c r="O301" t="s">
        <v>63</v>
      </c>
      <c r="P301" t="s">
        <v>63</v>
      </c>
      <c r="Q301" t="s">
        <v>63</v>
      </c>
      <c r="S301" t="s">
        <v>63</v>
      </c>
      <c r="T301" t="s">
        <v>63</v>
      </c>
      <c r="U301" t="s">
        <v>63</v>
      </c>
      <c r="V301" t="s">
        <v>63</v>
      </c>
      <c r="X301" t="s">
        <v>63</v>
      </c>
      <c r="Y301" t="s">
        <v>63</v>
      </c>
      <c r="Z301" t="s">
        <v>63</v>
      </c>
      <c r="AA301" t="s">
        <v>63</v>
      </c>
      <c r="AC301" t="s">
        <v>63</v>
      </c>
      <c r="AD301" t="s">
        <v>63</v>
      </c>
      <c r="AE301">
        <v>115</v>
      </c>
      <c r="AF301">
        <v>10</v>
      </c>
      <c r="AG301">
        <v>73.33</v>
      </c>
      <c r="AH301">
        <v>73.33</v>
      </c>
      <c r="AI301">
        <v>73.33</v>
      </c>
      <c r="AJ301">
        <v>73.33</v>
      </c>
      <c r="AT301">
        <v>63.89</v>
      </c>
      <c r="AU301">
        <v>0</v>
      </c>
      <c r="AV301">
        <v>63.89</v>
      </c>
      <c r="AY301">
        <v>0</v>
      </c>
      <c r="AZ301">
        <v>0</v>
      </c>
      <c r="BA301">
        <v>73.33</v>
      </c>
      <c r="BB301">
        <v>67.040000000000006</v>
      </c>
      <c r="BC301">
        <v>22</v>
      </c>
      <c r="BD301">
        <v>60.33</v>
      </c>
      <c r="BE301">
        <f t="shared" si="9"/>
        <v>115</v>
      </c>
      <c r="BF301">
        <f t="shared" si="10"/>
        <v>70.333333333333343</v>
      </c>
      <c r="BG301" t="s">
        <v>758</v>
      </c>
    </row>
    <row r="302" spans="1:59" x14ac:dyDescent="0.3">
      <c r="A302" t="s">
        <v>306</v>
      </c>
      <c r="B302">
        <v>127140</v>
      </c>
      <c r="C302">
        <v>24327063</v>
      </c>
      <c r="D302" t="s">
        <v>307</v>
      </c>
      <c r="E302" t="s">
        <v>61</v>
      </c>
      <c r="F302" t="s">
        <v>69</v>
      </c>
      <c r="G302">
        <v>7.5</v>
      </c>
      <c r="H302">
        <v>8</v>
      </c>
      <c r="I302">
        <v>8</v>
      </c>
      <c r="J302" t="s">
        <v>63</v>
      </c>
      <c r="L302" t="s">
        <v>63</v>
      </c>
      <c r="M302" t="s">
        <v>63</v>
      </c>
      <c r="N302" t="s">
        <v>63</v>
      </c>
      <c r="O302" t="s">
        <v>63</v>
      </c>
      <c r="Q302" t="s">
        <v>63</v>
      </c>
      <c r="R302" t="s">
        <v>63</v>
      </c>
      <c r="S302" t="s">
        <v>63</v>
      </c>
      <c r="T302" t="s">
        <v>63</v>
      </c>
      <c r="V302" t="s">
        <v>63</v>
      </c>
      <c r="W302" t="s">
        <v>63</v>
      </c>
      <c r="X302" t="s">
        <v>63</v>
      </c>
      <c r="Y302" t="s">
        <v>63</v>
      </c>
      <c r="AA302" t="s">
        <v>63</v>
      </c>
      <c r="AB302" t="s">
        <v>63</v>
      </c>
      <c r="AC302" t="s">
        <v>63</v>
      </c>
      <c r="AD302" t="s">
        <v>63</v>
      </c>
      <c r="AE302">
        <v>109</v>
      </c>
      <c r="AF302">
        <v>10</v>
      </c>
      <c r="AG302">
        <v>78.33</v>
      </c>
      <c r="AH302">
        <v>78.33</v>
      </c>
      <c r="AI302">
        <v>78.33</v>
      </c>
      <c r="AJ302">
        <v>78.33</v>
      </c>
      <c r="AT302">
        <v>60.56</v>
      </c>
      <c r="AU302">
        <v>0</v>
      </c>
      <c r="AV302">
        <v>60.56</v>
      </c>
      <c r="AY302">
        <v>0</v>
      </c>
      <c r="AZ302">
        <v>0</v>
      </c>
      <c r="BA302">
        <v>78.33</v>
      </c>
      <c r="BB302">
        <v>66.48</v>
      </c>
      <c r="BC302">
        <v>23.5</v>
      </c>
      <c r="BD302">
        <v>59.83</v>
      </c>
      <c r="BE302">
        <f t="shared" si="9"/>
        <v>109</v>
      </c>
      <c r="BF302">
        <f t="shared" si="10"/>
        <v>69.833333333333343</v>
      </c>
      <c r="BG302" t="s">
        <v>758</v>
      </c>
    </row>
    <row r="303" spans="1:59" x14ac:dyDescent="0.3">
      <c r="A303" t="s">
        <v>536</v>
      </c>
      <c r="B303">
        <v>126984</v>
      </c>
      <c r="C303">
        <v>24323595</v>
      </c>
      <c r="D303" t="s">
        <v>537</v>
      </c>
      <c r="E303" t="s">
        <v>61</v>
      </c>
      <c r="F303" t="s">
        <v>66</v>
      </c>
      <c r="G303">
        <v>5.75</v>
      </c>
      <c r="H303">
        <v>6</v>
      </c>
      <c r="I303">
        <v>10</v>
      </c>
      <c r="K303" t="s">
        <v>63</v>
      </c>
      <c r="L303" t="s">
        <v>63</v>
      </c>
      <c r="M303" t="s">
        <v>63</v>
      </c>
      <c r="N303" t="s">
        <v>63</v>
      </c>
      <c r="P303" t="s">
        <v>63</v>
      </c>
      <c r="Q303" t="s">
        <v>63</v>
      </c>
      <c r="R303" t="s">
        <v>63</v>
      </c>
      <c r="S303" t="s">
        <v>63</v>
      </c>
      <c r="U303" t="s">
        <v>63</v>
      </c>
      <c r="V303" t="s">
        <v>63</v>
      </c>
      <c r="W303" t="s">
        <v>63</v>
      </c>
      <c r="X303" t="s">
        <v>63</v>
      </c>
      <c r="Z303" t="s">
        <v>63</v>
      </c>
      <c r="AA303" t="s">
        <v>63</v>
      </c>
      <c r="AB303" t="s">
        <v>63</v>
      </c>
      <c r="AC303" t="s">
        <v>63</v>
      </c>
      <c r="AD303" t="s">
        <v>63</v>
      </c>
      <c r="AE303">
        <v>114</v>
      </c>
      <c r="AF303">
        <v>10</v>
      </c>
      <c r="AG303">
        <v>72.5</v>
      </c>
      <c r="AH303">
        <v>72.5</v>
      </c>
      <c r="AI303">
        <v>72.5</v>
      </c>
      <c r="AJ303">
        <v>72.5</v>
      </c>
      <c r="AT303">
        <v>63.33</v>
      </c>
      <c r="AU303">
        <v>0</v>
      </c>
      <c r="AV303">
        <v>63.33</v>
      </c>
      <c r="AY303">
        <v>0</v>
      </c>
      <c r="AZ303">
        <v>0</v>
      </c>
      <c r="BA303">
        <v>72.5</v>
      </c>
      <c r="BB303">
        <v>66.39</v>
      </c>
      <c r="BC303">
        <v>21.75</v>
      </c>
      <c r="BD303">
        <v>59.75</v>
      </c>
      <c r="BE303">
        <f t="shared" si="9"/>
        <v>114</v>
      </c>
      <c r="BF303">
        <f t="shared" si="10"/>
        <v>69.75</v>
      </c>
      <c r="BG303" t="s">
        <v>758</v>
      </c>
    </row>
    <row r="304" spans="1:59" x14ac:dyDescent="0.3">
      <c r="A304" t="s">
        <v>656</v>
      </c>
      <c r="B304">
        <v>63018</v>
      </c>
      <c r="C304">
        <v>17296701</v>
      </c>
      <c r="D304" t="s">
        <v>657</v>
      </c>
      <c r="E304" t="s">
        <v>61</v>
      </c>
      <c r="F304" t="s">
        <v>72</v>
      </c>
      <c r="G304">
        <v>6.75</v>
      </c>
      <c r="H304">
        <v>10</v>
      </c>
      <c r="I304">
        <v>10</v>
      </c>
      <c r="J304" t="s">
        <v>63</v>
      </c>
      <c r="K304" t="s">
        <v>63</v>
      </c>
      <c r="M304" t="s">
        <v>63</v>
      </c>
      <c r="N304" t="s">
        <v>63</v>
      </c>
      <c r="O304" t="s">
        <v>63</v>
      </c>
      <c r="P304" t="s">
        <v>63</v>
      </c>
      <c r="R304" t="s">
        <v>63</v>
      </c>
      <c r="S304" t="s">
        <v>63</v>
      </c>
      <c r="T304" t="s">
        <v>63</v>
      </c>
      <c r="U304" t="s">
        <v>63</v>
      </c>
      <c r="W304" t="s">
        <v>63</v>
      </c>
      <c r="X304" t="s">
        <v>63</v>
      </c>
      <c r="Y304" t="s">
        <v>63</v>
      </c>
      <c r="Z304" t="s">
        <v>63</v>
      </c>
      <c r="AB304" t="s">
        <v>63</v>
      </c>
      <c r="AC304" t="s">
        <v>63</v>
      </c>
      <c r="AD304" t="s">
        <v>63</v>
      </c>
      <c r="AE304">
        <v>99</v>
      </c>
      <c r="AF304">
        <v>10</v>
      </c>
      <c r="AG304">
        <v>89.17</v>
      </c>
      <c r="AH304">
        <v>89.17</v>
      </c>
      <c r="AI304">
        <v>89.17</v>
      </c>
      <c r="AJ304">
        <v>89.17</v>
      </c>
      <c r="AT304">
        <v>55</v>
      </c>
      <c r="AU304">
        <v>0</v>
      </c>
      <c r="AV304">
        <v>55</v>
      </c>
      <c r="AY304">
        <v>0</v>
      </c>
      <c r="AZ304">
        <v>0</v>
      </c>
      <c r="BA304">
        <v>89.17</v>
      </c>
      <c r="BB304">
        <v>66.39</v>
      </c>
      <c r="BC304">
        <v>26.75</v>
      </c>
      <c r="BD304">
        <v>59.75</v>
      </c>
      <c r="BE304">
        <f t="shared" si="9"/>
        <v>99</v>
      </c>
      <c r="BF304">
        <f t="shared" si="10"/>
        <v>69.75</v>
      </c>
      <c r="BG304" t="s">
        <v>758</v>
      </c>
    </row>
    <row r="305" spans="1:60" x14ac:dyDescent="0.3">
      <c r="A305" t="s">
        <v>594</v>
      </c>
      <c r="B305">
        <v>133982</v>
      </c>
      <c r="C305">
        <v>24385560</v>
      </c>
      <c r="D305" t="s">
        <v>595</v>
      </c>
      <c r="E305" t="s">
        <v>61</v>
      </c>
      <c r="F305" t="s">
        <v>77</v>
      </c>
      <c r="G305">
        <v>7</v>
      </c>
      <c r="H305">
        <v>10</v>
      </c>
      <c r="I305">
        <v>9.5</v>
      </c>
      <c r="J305" t="s">
        <v>63</v>
      </c>
      <c r="K305" t="s">
        <v>63</v>
      </c>
      <c r="L305" t="s">
        <v>63</v>
      </c>
      <c r="N305" t="s">
        <v>63</v>
      </c>
      <c r="O305" t="s">
        <v>63</v>
      </c>
      <c r="P305" t="s">
        <v>63</v>
      </c>
      <c r="Q305" t="s">
        <v>63</v>
      </c>
      <c r="S305" t="s">
        <v>63</v>
      </c>
      <c r="T305" t="s">
        <v>63</v>
      </c>
      <c r="U305" t="s">
        <v>63</v>
      </c>
      <c r="V305" t="s">
        <v>63</v>
      </c>
      <c r="X305" t="s">
        <v>63</v>
      </c>
      <c r="Y305" t="s">
        <v>63</v>
      </c>
      <c r="Z305" t="s">
        <v>63</v>
      </c>
      <c r="AA305" t="s">
        <v>63</v>
      </c>
      <c r="AC305" t="s">
        <v>63</v>
      </c>
      <c r="AD305" t="s">
        <v>63</v>
      </c>
      <c r="AE305">
        <v>99.5</v>
      </c>
      <c r="AF305">
        <v>10</v>
      </c>
      <c r="AG305">
        <v>88.33</v>
      </c>
      <c r="AH305">
        <v>88.33</v>
      </c>
      <c r="AI305">
        <v>88.33</v>
      </c>
      <c r="AJ305">
        <v>88.33</v>
      </c>
      <c r="AT305">
        <v>55.28</v>
      </c>
      <c r="AU305">
        <v>0</v>
      </c>
      <c r="AV305">
        <v>55.28</v>
      </c>
      <c r="AY305">
        <v>0</v>
      </c>
      <c r="AZ305">
        <v>0</v>
      </c>
      <c r="BA305">
        <v>88.33</v>
      </c>
      <c r="BB305">
        <v>66.3</v>
      </c>
      <c r="BC305">
        <v>26.5</v>
      </c>
      <c r="BD305">
        <v>59.67</v>
      </c>
      <c r="BE305">
        <f t="shared" si="9"/>
        <v>99.5</v>
      </c>
      <c r="BF305">
        <f t="shared" si="10"/>
        <v>69.666666666666657</v>
      </c>
      <c r="BG305" t="s">
        <v>758</v>
      </c>
    </row>
    <row r="306" spans="1:60" x14ac:dyDescent="0.3">
      <c r="A306" t="s">
        <v>454</v>
      </c>
      <c r="B306">
        <v>105173</v>
      </c>
      <c r="C306">
        <v>24046087</v>
      </c>
      <c r="D306" t="s">
        <v>455</v>
      </c>
      <c r="E306" t="s">
        <v>61</v>
      </c>
      <c r="F306" t="s">
        <v>62</v>
      </c>
      <c r="G306">
        <v>8</v>
      </c>
      <c r="H306">
        <v>10</v>
      </c>
      <c r="I306">
        <v>9</v>
      </c>
      <c r="J306" t="s">
        <v>63</v>
      </c>
      <c r="K306" t="s">
        <v>63</v>
      </c>
      <c r="L306" t="s">
        <v>63</v>
      </c>
      <c r="M306" t="s">
        <v>63</v>
      </c>
      <c r="O306" t="s">
        <v>63</v>
      </c>
      <c r="P306" t="s">
        <v>63</v>
      </c>
      <c r="Q306" t="s">
        <v>63</v>
      </c>
      <c r="R306" t="s">
        <v>63</v>
      </c>
      <c r="T306" t="s">
        <v>63</v>
      </c>
      <c r="U306" t="s">
        <v>63</v>
      </c>
      <c r="V306" t="s">
        <v>63</v>
      </c>
      <c r="W306" t="s">
        <v>63</v>
      </c>
      <c r="Y306" t="s">
        <v>63</v>
      </c>
      <c r="Z306" t="s">
        <v>63</v>
      </c>
      <c r="AA306" t="s">
        <v>63</v>
      </c>
      <c r="AB306" t="s">
        <v>63</v>
      </c>
      <c r="AD306" t="s">
        <v>63</v>
      </c>
      <c r="AE306">
        <v>96.5</v>
      </c>
      <c r="AF306">
        <v>10</v>
      </c>
      <c r="AG306">
        <v>90</v>
      </c>
      <c r="AH306">
        <v>90</v>
      </c>
      <c r="AI306">
        <v>90</v>
      </c>
      <c r="AJ306">
        <v>90</v>
      </c>
      <c r="AT306">
        <v>53.61</v>
      </c>
      <c r="AU306">
        <v>0</v>
      </c>
      <c r="AV306">
        <v>53.61</v>
      </c>
      <c r="AY306">
        <v>0</v>
      </c>
      <c r="AZ306">
        <v>0</v>
      </c>
      <c r="BA306">
        <v>90</v>
      </c>
      <c r="BB306">
        <v>65.739999999999995</v>
      </c>
      <c r="BC306">
        <v>27</v>
      </c>
      <c r="BD306">
        <v>59.17</v>
      </c>
      <c r="BE306">
        <f t="shared" si="9"/>
        <v>96.5</v>
      </c>
      <c r="BF306">
        <f t="shared" si="10"/>
        <v>69.166666666666657</v>
      </c>
      <c r="BG306" t="s">
        <v>758</v>
      </c>
    </row>
    <row r="307" spans="1:60" x14ac:dyDescent="0.3">
      <c r="A307" t="s">
        <v>538</v>
      </c>
      <c r="B307">
        <v>128277</v>
      </c>
      <c r="C307">
        <v>24342635</v>
      </c>
      <c r="D307" t="s">
        <v>539</v>
      </c>
      <c r="E307" t="s">
        <v>61</v>
      </c>
      <c r="F307" t="s">
        <v>62</v>
      </c>
      <c r="G307">
        <v>9.75</v>
      </c>
      <c r="H307">
        <v>8.25</v>
      </c>
      <c r="I307">
        <v>8.5</v>
      </c>
      <c r="J307" t="s">
        <v>63</v>
      </c>
      <c r="K307" t="s">
        <v>63</v>
      </c>
      <c r="L307" t="s">
        <v>63</v>
      </c>
      <c r="M307" t="s">
        <v>63</v>
      </c>
      <c r="O307" t="s">
        <v>63</v>
      </c>
      <c r="P307" t="s">
        <v>63</v>
      </c>
      <c r="Q307" t="s">
        <v>63</v>
      </c>
      <c r="R307" t="s">
        <v>63</v>
      </c>
      <c r="T307" t="s">
        <v>63</v>
      </c>
      <c r="U307" t="s">
        <v>63</v>
      </c>
      <c r="V307" t="s">
        <v>63</v>
      </c>
      <c r="W307" t="s">
        <v>63</v>
      </c>
      <c r="Y307" t="s">
        <v>63</v>
      </c>
      <c r="Z307" t="s">
        <v>63</v>
      </c>
      <c r="AA307" t="s">
        <v>63</v>
      </c>
      <c r="AB307" t="s">
        <v>63</v>
      </c>
      <c r="AD307" t="s">
        <v>63</v>
      </c>
      <c r="AE307">
        <v>98</v>
      </c>
      <c r="AF307">
        <v>10</v>
      </c>
      <c r="AG307">
        <v>88.33</v>
      </c>
      <c r="AH307">
        <v>88.33</v>
      </c>
      <c r="AI307">
        <v>88.33</v>
      </c>
      <c r="AJ307">
        <v>88.33</v>
      </c>
      <c r="AT307">
        <v>54.44</v>
      </c>
      <c r="AU307">
        <v>0</v>
      </c>
      <c r="AV307">
        <v>54.44</v>
      </c>
      <c r="AY307">
        <v>0</v>
      </c>
      <c r="AZ307">
        <v>0</v>
      </c>
      <c r="BA307">
        <v>88.33</v>
      </c>
      <c r="BB307">
        <v>65.739999999999995</v>
      </c>
      <c r="BC307">
        <v>26.5</v>
      </c>
      <c r="BD307">
        <v>59.17</v>
      </c>
      <c r="BE307">
        <f t="shared" si="9"/>
        <v>98</v>
      </c>
      <c r="BF307">
        <f t="shared" si="10"/>
        <v>69.166666666666657</v>
      </c>
      <c r="BG307" t="s">
        <v>758</v>
      </c>
    </row>
    <row r="308" spans="1:60" x14ac:dyDescent="0.3">
      <c r="A308" t="s">
        <v>614</v>
      </c>
      <c r="B308">
        <v>128890</v>
      </c>
      <c r="C308">
        <v>24351118</v>
      </c>
      <c r="D308" t="s">
        <v>615</v>
      </c>
      <c r="E308" t="s">
        <v>61</v>
      </c>
      <c r="F308" t="s">
        <v>62</v>
      </c>
      <c r="G308">
        <v>8.5</v>
      </c>
      <c r="H308">
        <v>10</v>
      </c>
      <c r="I308">
        <v>9</v>
      </c>
      <c r="J308" t="s">
        <v>63</v>
      </c>
      <c r="K308" t="s">
        <v>63</v>
      </c>
      <c r="L308" t="s">
        <v>63</v>
      </c>
      <c r="M308" t="s">
        <v>63</v>
      </c>
      <c r="O308" t="s">
        <v>63</v>
      </c>
      <c r="P308" t="s">
        <v>63</v>
      </c>
      <c r="Q308" t="s">
        <v>63</v>
      </c>
      <c r="R308" t="s">
        <v>63</v>
      </c>
      <c r="T308" t="s">
        <v>63</v>
      </c>
      <c r="U308" t="s">
        <v>63</v>
      </c>
      <c r="V308" t="s">
        <v>63</v>
      </c>
      <c r="W308" t="s">
        <v>63</v>
      </c>
      <c r="Y308" t="s">
        <v>63</v>
      </c>
      <c r="Z308" t="s">
        <v>63</v>
      </c>
      <c r="AA308" t="s">
        <v>63</v>
      </c>
      <c r="AB308" t="s">
        <v>63</v>
      </c>
      <c r="AD308" t="s">
        <v>63</v>
      </c>
      <c r="AE308">
        <v>94</v>
      </c>
      <c r="AF308">
        <v>10</v>
      </c>
      <c r="AG308">
        <v>91.67</v>
      </c>
      <c r="AH308">
        <v>91.67</v>
      </c>
      <c r="AI308">
        <v>91.67</v>
      </c>
      <c r="AJ308">
        <v>91.67</v>
      </c>
      <c r="AT308">
        <v>52.22</v>
      </c>
      <c r="AU308">
        <v>0</v>
      </c>
      <c r="AV308">
        <v>52.22</v>
      </c>
      <c r="AY308">
        <v>0</v>
      </c>
      <c r="AZ308">
        <v>0</v>
      </c>
      <c r="BA308">
        <v>91.67</v>
      </c>
      <c r="BB308">
        <v>65.37</v>
      </c>
      <c r="BC308">
        <v>27.5</v>
      </c>
      <c r="BD308">
        <v>58.83</v>
      </c>
      <c r="BE308">
        <f t="shared" si="9"/>
        <v>94</v>
      </c>
      <c r="BF308">
        <f t="shared" si="10"/>
        <v>68.833333333333329</v>
      </c>
      <c r="BG308" t="s">
        <v>758</v>
      </c>
    </row>
    <row r="309" spans="1:60" x14ac:dyDescent="0.3">
      <c r="A309" t="s">
        <v>746</v>
      </c>
      <c r="B309">
        <v>134285</v>
      </c>
      <c r="C309">
        <v>24387209</v>
      </c>
      <c r="D309" t="s">
        <v>747</v>
      </c>
      <c r="E309" t="s">
        <v>61</v>
      </c>
      <c r="F309" t="s">
        <v>69</v>
      </c>
      <c r="G309">
        <v>7.5</v>
      </c>
      <c r="H309">
        <v>9.75</v>
      </c>
      <c r="I309">
        <v>8</v>
      </c>
      <c r="J309" t="s">
        <v>63</v>
      </c>
      <c r="L309" t="s">
        <v>63</v>
      </c>
      <c r="M309" t="s">
        <v>63</v>
      </c>
      <c r="N309" t="s">
        <v>63</v>
      </c>
      <c r="O309" t="s">
        <v>63</v>
      </c>
      <c r="Q309" t="s">
        <v>63</v>
      </c>
      <c r="R309" t="s">
        <v>63</v>
      </c>
      <c r="S309" t="s">
        <v>63</v>
      </c>
      <c r="T309" t="s">
        <v>63</v>
      </c>
      <c r="V309" t="s">
        <v>63</v>
      </c>
      <c r="W309" t="s">
        <v>63</v>
      </c>
      <c r="X309" t="s">
        <v>63</v>
      </c>
      <c r="Y309" t="s">
        <v>63</v>
      </c>
      <c r="AA309" t="s">
        <v>63</v>
      </c>
      <c r="AB309" t="s">
        <v>63</v>
      </c>
      <c r="AC309" t="s">
        <v>63</v>
      </c>
      <c r="AD309" t="s">
        <v>63</v>
      </c>
      <c r="AE309">
        <v>100.5</v>
      </c>
      <c r="AF309">
        <v>10</v>
      </c>
      <c r="AG309">
        <v>84.17</v>
      </c>
      <c r="AH309">
        <v>84.17</v>
      </c>
      <c r="AI309">
        <v>84.17</v>
      </c>
      <c r="AJ309">
        <v>84.17</v>
      </c>
      <c r="AT309">
        <v>55.83</v>
      </c>
      <c r="AU309">
        <v>0</v>
      </c>
      <c r="AV309">
        <v>55.83</v>
      </c>
      <c r="AY309">
        <v>0</v>
      </c>
      <c r="AZ309">
        <v>0</v>
      </c>
      <c r="BA309">
        <v>84.17</v>
      </c>
      <c r="BB309">
        <v>65.28</v>
      </c>
      <c r="BC309">
        <v>25.25</v>
      </c>
      <c r="BD309">
        <v>58.75</v>
      </c>
      <c r="BE309">
        <f t="shared" si="9"/>
        <v>100.5</v>
      </c>
      <c r="BF309">
        <f t="shared" si="10"/>
        <v>68.75</v>
      </c>
      <c r="BG309" t="s">
        <v>758</v>
      </c>
      <c r="BH309">
        <f>AVERAGE(BE125:BE309)</f>
        <v>119.22702702702702</v>
      </c>
    </row>
    <row r="310" spans="1:60" x14ac:dyDescent="0.3">
      <c r="A310" t="s">
        <v>438</v>
      </c>
      <c r="B310">
        <v>127985</v>
      </c>
      <c r="C310">
        <v>24337569</v>
      </c>
      <c r="D310" t="s">
        <v>439</v>
      </c>
      <c r="E310" t="s">
        <v>61</v>
      </c>
      <c r="F310" t="s">
        <v>69</v>
      </c>
      <c r="G310">
        <v>4.5</v>
      </c>
      <c r="H310">
        <v>10</v>
      </c>
      <c r="I310">
        <v>9</v>
      </c>
      <c r="J310" t="s">
        <v>63</v>
      </c>
      <c r="L310" t="s">
        <v>63</v>
      </c>
      <c r="M310" t="s">
        <v>63</v>
      </c>
      <c r="N310" t="s">
        <v>63</v>
      </c>
      <c r="O310" t="s">
        <v>63</v>
      </c>
      <c r="Q310" t="s">
        <v>63</v>
      </c>
      <c r="R310" t="s">
        <v>63</v>
      </c>
      <c r="S310" t="s">
        <v>63</v>
      </c>
      <c r="T310" t="s">
        <v>63</v>
      </c>
      <c r="V310" t="s">
        <v>63</v>
      </c>
      <c r="W310" t="s">
        <v>63</v>
      </c>
      <c r="X310" t="s">
        <v>63</v>
      </c>
      <c r="Y310" t="s">
        <v>63</v>
      </c>
      <c r="AA310" t="s">
        <v>63</v>
      </c>
      <c r="AB310" t="s">
        <v>63</v>
      </c>
      <c r="AC310" t="s">
        <v>63</v>
      </c>
      <c r="AD310" t="s">
        <v>63</v>
      </c>
      <c r="AE310">
        <v>105.5</v>
      </c>
      <c r="AF310">
        <v>10</v>
      </c>
      <c r="AG310">
        <v>78.33</v>
      </c>
      <c r="AH310">
        <v>78.33</v>
      </c>
      <c r="AI310">
        <v>78.33</v>
      </c>
      <c r="AJ310">
        <v>78.33</v>
      </c>
      <c r="AT310">
        <v>58.61</v>
      </c>
      <c r="AU310">
        <v>0</v>
      </c>
      <c r="AV310">
        <v>58.61</v>
      </c>
      <c r="AY310">
        <v>0</v>
      </c>
      <c r="AZ310">
        <v>0</v>
      </c>
      <c r="BA310">
        <v>78.33</v>
      </c>
      <c r="BB310">
        <v>65.19</v>
      </c>
      <c r="BC310">
        <v>23.5</v>
      </c>
      <c r="BD310">
        <v>58.67</v>
      </c>
      <c r="BE310">
        <f t="shared" si="9"/>
        <v>105.5</v>
      </c>
      <c r="BF310">
        <f t="shared" si="10"/>
        <v>68.666666666666657</v>
      </c>
      <c r="BG310" t="s">
        <v>759</v>
      </c>
    </row>
    <row r="311" spans="1:60" x14ac:dyDescent="0.3">
      <c r="A311" t="s">
        <v>658</v>
      </c>
      <c r="B311">
        <v>123905</v>
      </c>
      <c r="C311">
        <v>24283645</v>
      </c>
      <c r="D311" t="s">
        <v>659</v>
      </c>
      <c r="E311" t="s">
        <v>61</v>
      </c>
      <c r="F311" t="s">
        <v>72</v>
      </c>
      <c r="G311">
        <v>9</v>
      </c>
      <c r="H311">
        <v>10</v>
      </c>
      <c r="I311">
        <v>4</v>
      </c>
      <c r="J311" t="s">
        <v>63</v>
      </c>
      <c r="K311" t="s">
        <v>63</v>
      </c>
      <c r="M311" t="s">
        <v>63</v>
      </c>
      <c r="N311" t="s">
        <v>63</v>
      </c>
      <c r="O311" t="s">
        <v>63</v>
      </c>
      <c r="P311" t="s">
        <v>63</v>
      </c>
      <c r="R311" t="s">
        <v>63</v>
      </c>
      <c r="S311" t="s">
        <v>63</v>
      </c>
      <c r="T311" t="s">
        <v>63</v>
      </c>
      <c r="U311" t="s">
        <v>63</v>
      </c>
      <c r="W311" t="s">
        <v>63</v>
      </c>
      <c r="X311" t="s">
        <v>63</v>
      </c>
      <c r="Y311" t="s">
        <v>63</v>
      </c>
      <c r="Z311" t="s">
        <v>63</v>
      </c>
      <c r="AB311" t="s">
        <v>63</v>
      </c>
      <c r="AC311" t="s">
        <v>63</v>
      </c>
      <c r="AD311" t="s">
        <v>63</v>
      </c>
      <c r="AE311">
        <v>106</v>
      </c>
      <c r="AF311">
        <v>10</v>
      </c>
      <c r="AG311">
        <v>76.67</v>
      </c>
      <c r="AH311">
        <v>76.67</v>
      </c>
      <c r="AI311">
        <v>76.67</v>
      </c>
      <c r="AJ311">
        <v>76.67</v>
      </c>
      <c r="AT311">
        <v>58.89</v>
      </c>
      <c r="AU311">
        <v>0</v>
      </c>
      <c r="AV311">
        <v>58.89</v>
      </c>
      <c r="AY311">
        <v>0</v>
      </c>
      <c r="AZ311">
        <v>0</v>
      </c>
      <c r="BA311">
        <v>76.67</v>
      </c>
      <c r="BB311">
        <v>64.81</v>
      </c>
      <c r="BC311">
        <v>23</v>
      </c>
      <c r="BD311">
        <v>58.33</v>
      </c>
      <c r="BE311">
        <f t="shared" si="9"/>
        <v>106</v>
      </c>
      <c r="BF311">
        <f t="shared" si="10"/>
        <v>68.333333333333343</v>
      </c>
      <c r="BG311" t="s">
        <v>759</v>
      </c>
    </row>
    <row r="312" spans="1:60" x14ac:dyDescent="0.3">
      <c r="A312" t="s">
        <v>554</v>
      </c>
      <c r="B312">
        <v>124378</v>
      </c>
      <c r="C312">
        <v>24289119</v>
      </c>
      <c r="D312" t="s">
        <v>555</v>
      </c>
      <c r="E312" t="s">
        <v>61</v>
      </c>
      <c r="F312" t="s">
        <v>69</v>
      </c>
      <c r="G312">
        <v>4</v>
      </c>
      <c r="H312">
        <v>7.5</v>
      </c>
      <c r="I312">
        <v>9</v>
      </c>
      <c r="J312" t="s">
        <v>63</v>
      </c>
      <c r="L312" t="s">
        <v>63</v>
      </c>
      <c r="M312" t="s">
        <v>63</v>
      </c>
      <c r="N312" t="s">
        <v>63</v>
      </c>
      <c r="O312" t="s">
        <v>63</v>
      </c>
      <c r="Q312" t="s">
        <v>63</v>
      </c>
      <c r="R312" t="s">
        <v>63</v>
      </c>
      <c r="S312" t="s">
        <v>63</v>
      </c>
      <c r="T312" t="s">
        <v>63</v>
      </c>
      <c r="V312" t="s">
        <v>63</v>
      </c>
      <c r="W312" t="s">
        <v>63</v>
      </c>
      <c r="X312" t="s">
        <v>63</v>
      </c>
      <c r="Y312" t="s">
        <v>63</v>
      </c>
      <c r="AA312" t="s">
        <v>63</v>
      </c>
      <c r="AB312" t="s">
        <v>63</v>
      </c>
      <c r="AC312" t="s">
        <v>63</v>
      </c>
      <c r="AD312" t="s">
        <v>63</v>
      </c>
      <c r="AE312">
        <v>113</v>
      </c>
      <c r="AF312">
        <v>10</v>
      </c>
      <c r="AG312">
        <v>68.33</v>
      </c>
      <c r="AH312">
        <v>68.33</v>
      </c>
      <c r="AI312">
        <v>68.33</v>
      </c>
      <c r="AJ312">
        <v>68.33</v>
      </c>
      <c r="AT312">
        <v>62.78</v>
      </c>
      <c r="AU312">
        <v>0</v>
      </c>
      <c r="AV312">
        <v>62.78</v>
      </c>
      <c r="AY312">
        <v>0</v>
      </c>
      <c r="AZ312">
        <v>0</v>
      </c>
      <c r="BA312">
        <v>68.33</v>
      </c>
      <c r="BB312">
        <v>64.63</v>
      </c>
      <c r="BC312">
        <v>20.5</v>
      </c>
      <c r="BD312">
        <v>58.17</v>
      </c>
      <c r="BE312">
        <f t="shared" si="9"/>
        <v>113</v>
      </c>
      <c r="BF312">
        <f t="shared" si="10"/>
        <v>68.166666666666657</v>
      </c>
      <c r="BG312" t="s">
        <v>759</v>
      </c>
    </row>
    <row r="313" spans="1:60" x14ac:dyDescent="0.3">
      <c r="A313" t="s">
        <v>462</v>
      </c>
      <c r="B313">
        <v>125313</v>
      </c>
      <c r="C313">
        <v>24300917</v>
      </c>
      <c r="D313" t="s">
        <v>463</v>
      </c>
      <c r="E313" t="s">
        <v>61</v>
      </c>
      <c r="F313" t="s">
        <v>69</v>
      </c>
      <c r="G313">
        <v>5.5</v>
      </c>
      <c r="H313">
        <v>10</v>
      </c>
      <c r="I313">
        <v>10</v>
      </c>
      <c r="J313" t="s">
        <v>63</v>
      </c>
      <c r="L313" t="s">
        <v>63</v>
      </c>
      <c r="M313" t="s">
        <v>63</v>
      </c>
      <c r="N313" t="s">
        <v>63</v>
      </c>
      <c r="O313" t="s">
        <v>63</v>
      </c>
      <c r="Q313" t="s">
        <v>63</v>
      </c>
      <c r="R313" t="s">
        <v>63</v>
      </c>
      <c r="S313" t="s">
        <v>63</v>
      </c>
      <c r="T313" t="s">
        <v>63</v>
      </c>
      <c r="V313" t="s">
        <v>63</v>
      </c>
      <c r="W313" t="s">
        <v>63</v>
      </c>
      <c r="X313" t="s">
        <v>63</v>
      </c>
      <c r="Y313" t="s">
        <v>63</v>
      </c>
      <c r="AA313" t="s">
        <v>63</v>
      </c>
      <c r="AB313" t="s">
        <v>63</v>
      </c>
      <c r="AC313" t="s">
        <v>63</v>
      </c>
      <c r="AD313" t="s">
        <v>63</v>
      </c>
      <c r="AE313">
        <v>97</v>
      </c>
      <c r="AF313">
        <v>10</v>
      </c>
      <c r="AG313">
        <v>85</v>
      </c>
      <c r="AH313">
        <v>85</v>
      </c>
      <c r="AI313">
        <v>85</v>
      </c>
      <c r="AJ313">
        <v>85</v>
      </c>
      <c r="AT313">
        <v>53.89</v>
      </c>
      <c r="AU313">
        <v>0</v>
      </c>
      <c r="AV313">
        <v>53.89</v>
      </c>
      <c r="AY313">
        <v>0</v>
      </c>
      <c r="AZ313">
        <v>0</v>
      </c>
      <c r="BA313">
        <v>85</v>
      </c>
      <c r="BB313">
        <v>64.260000000000005</v>
      </c>
      <c r="BC313">
        <v>25.5</v>
      </c>
      <c r="BD313">
        <v>57.83</v>
      </c>
      <c r="BE313">
        <f t="shared" si="9"/>
        <v>97</v>
      </c>
      <c r="BF313">
        <f t="shared" si="10"/>
        <v>67.833333333333343</v>
      </c>
      <c r="BG313" t="s">
        <v>759</v>
      </c>
    </row>
    <row r="314" spans="1:60" x14ac:dyDescent="0.3">
      <c r="A314" t="s">
        <v>392</v>
      </c>
      <c r="B314">
        <v>134495</v>
      </c>
      <c r="C314">
        <v>24388858</v>
      </c>
      <c r="D314" t="s">
        <v>393</v>
      </c>
      <c r="E314" t="s">
        <v>61</v>
      </c>
      <c r="F314" t="s">
        <v>62</v>
      </c>
      <c r="G314">
        <v>10</v>
      </c>
      <c r="H314">
        <v>10</v>
      </c>
      <c r="I314">
        <v>8.5</v>
      </c>
      <c r="J314" t="s">
        <v>63</v>
      </c>
      <c r="K314" t="s">
        <v>63</v>
      </c>
      <c r="L314" t="s">
        <v>63</v>
      </c>
      <c r="M314" t="s">
        <v>63</v>
      </c>
      <c r="O314" t="s">
        <v>63</v>
      </c>
      <c r="P314" t="s">
        <v>63</v>
      </c>
      <c r="Q314" t="s">
        <v>63</v>
      </c>
      <c r="R314" t="s">
        <v>63</v>
      </c>
      <c r="T314" t="s">
        <v>63</v>
      </c>
      <c r="U314" t="s">
        <v>63</v>
      </c>
      <c r="V314" t="s">
        <v>63</v>
      </c>
      <c r="W314" t="s">
        <v>63</v>
      </c>
      <c r="Y314" t="s">
        <v>63</v>
      </c>
      <c r="Z314" t="s">
        <v>63</v>
      </c>
      <c r="AA314" t="s">
        <v>63</v>
      </c>
      <c r="AB314" t="s">
        <v>63</v>
      </c>
      <c r="AD314" t="s">
        <v>63</v>
      </c>
      <c r="AE314">
        <v>88</v>
      </c>
      <c r="AF314">
        <v>10</v>
      </c>
      <c r="AG314">
        <v>95</v>
      </c>
      <c r="AH314">
        <v>95</v>
      </c>
      <c r="AI314">
        <v>95</v>
      </c>
      <c r="AJ314">
        <v>95</v>
      </c>
      <c r="AT314">
        <v>48.89</v>
      </c>
      <c r="AU314">
        <v>0</v>
      </c>
      <c r="AV314">
        <v>48.89</v>
      </c>
      <c r="AY314">
        <v>0</v>
      </c>
      <c r="AZ314">
        <v>0</v>
      </c>
      <c r="BA314">
        <v>95</v>
      </c>
      <c r="BB314">
        <v>64.260000000000005</v>
      </c>
      <c r="BC314">
        <v>28.5</v>
      </c>
      <c r="BD314">
        <v>57.83</v>
      </c>
      <c r="BE314">
        <f t="shared" si="9"/>
        <v>88</v>
      </c>
      <c r="BF314">
        <f t="shared" si="10"/>
        <v>67.833333333333329</v>
      </c>
      <c r="BG314" t="s">
        <v>759</v>
      </c>
    </row>
    <row r="315" spans="1:60" x14ac:dyDescent="0.3">
      <c r="A315" t="s">
        <v>456</v>
      </c>
      <c r="B315">
        <v>128400</v>
      </c>
      <c r="C315">
        <v>24344930</v>
      </c>
      <c r="D315" t="s">
        <v>457</v>
      </c>
      <c r="E315" t="s">
        <v>61</v>
      </c>
      <c r="F315" t="s">
        <v>66</v>
      </c>
      <c r="G315">
        <v>5.5</v>
      </c>
      <c r="H315">
        <v>5.75</v>
      </c>
      <c r="I315">
        <v>9.5</v>
      </c>
      <c r="K315" t="s">
        <v>63</v>
      </c>
      <c r="L315" t="s">
        <v>63</v>
      </c>
      <c r="M315" t="s">
        <v>63</v>
      </c>
      <c r="N315" t="s">
        <v>63</v>
      </c>
      <c r="P315" t="s">
        <v>63</v>
      </c>
      <c r="Q315" t="s">
        <v>63</v>
      </c>
      <c r="R315" t="s">
        <v>63</v>
      </c>
      <c r="S315" t="s">
        <v>63</v>
      </c>
      <c r="U315" t="s">
        <v>63</v>
      </c>
      <c r="V315" t="s">
        <v>63</v>
      </c>
      <c r="W315" t="s">
        <v>63</v>
      </c>
      <c r="X315" t="s">
        <v>63</v>
      </c>
      <c r="Z315" t="s">
        <v>63</v>
      </c>
      <c r="AA315" t="s">
        <v>63</v>
      </c>
      <c r="AB315" t="s">
        <v>63</v>
      </c>
      <c r="AC315" t="s">
        <v>63</v>
      </c>
      <c r="AD315" t="s">
        <v>63</v>
      </c>
      <c r="AE315">
        <v>110.5</v>
      </c>
      <c r="AF315">
        <v>10</v>
      </c>
      <c r="AG315">
        <v>69.17</v>
      </c>
      <c r="AH315">
        <v>69.17</v>
      </c>
      <c r="AI315">
        <v>69.17</v>
      </c>
      <c r="AJ315">
        <v>69.17</v>
      </c>
      <c r="AT315">
        <v>61.39</v>
      </c>
      <c r="AU315">
        <v>0</v>
      </c>
      <c r="AV315">
        <v>61.39</v>
      </c>
      <c r="AY315">
        <v>0</v>
      </c>
      <c r="AZ315">
        <v>0</v>
      </c>
      <c r="BA315">
        <v>69.17</v>
      </c>
      <c r="BB315">
        <v>63.98</v>
      </c>
      <c r="BC315">
        <v>20.75</v>
      </c>
      <c r="BD315">
        <v>57.58</v>
      </c>
      <c r="BE315">
        <f t="shared" si="9"/>
        <v>110.5</v>
      </c>
      <c r="BF315">
        <f t="shared" si="10"/>
        <v>67.583333333333343</v>
      </c>
      <c r="BG315" t="s">
        <v>759</v>
      </c>
    </row>
    <row r="316" spans="1:60" x14ac:dyDescent="0.3">
      <c r="A316" t="s">
        <v>714</v>
      </c>
      <c r="B316">
        <v>134489</v>
      </c>
      <c r="C316">
        <v>24388654</v>
      </c>
      <c r="D316" t="s">
        <v>715</v>
      </c>
      <c r="E316" t="s">
        <v>61</v>
      </c>
      <c r="F316" t="s">
        <v>77</v>
      </c>
      <c r="G316">
        <v>8</v>
      </c>
      <c r="H316">
        <v>10</v>
      </c>
      <c r="I316">
        <v>9.5</v>
      </c>
      <c r="J316" t="s">
        <v>63</v>
      </c>
      <c r="K316" t="s">
        <v>63</v>
      </c>
      <c r="L316" t="s">
        <v>63</v>
      </c>
      <c r="N316" t="s">
        <v>63</v>
      </c>
      <c r="O316" t="s">
        <v>63</v>
      </c>
      <c r="P316" t="s">
        <v>63</v>
      </c>
      <c r="Q316" t="s">
        <v>63</v>
      </c>
      <c r="S316" t="s">
        <v>63</v>
      </c>
      <c r="T316" t="s">
        <v>63</v>
      </c>
      <c r="U316" t="s">
        <v>63</v>
      </c>
      <c r="V316" t="s">
        <v>63</v>
      </c>
      <c r="X316" t="s">
        <v>63</v>
      </c>
      <c r="Y316" t="s">
        <v>63</v>
      </c>
      <c r="Z316" t="s">
        <v>63</v>
      </c>
      <c r="AA316" t="s">
        <v>63</v>
      </c>
      <c r="AC316" t="s">
        <v>63</v>
      </c>
      <c r="AD316" t="s">
        <v>63</v>
      </c>
      <c r="AE316">
        <v>88.5</v>
      </c>
      <c r="AF316">
        <v>10</v>
      </c>
      <c r="AG316">
        <v>91.67</v>
      </c>
      <c r="AH316">
        <v>91.67</v>
      </c>
      <c r="AI316">
        <v>91.67</v>
      </c>
      <c r="AJ316">
        <v>91.67</v>
      </c>
      <c r="AT316">
        <v>49.17</v>
      </c>
      <c r="AU316">
        <v>0</v>
      </c>
      <c r="AV316">
        <v>49.17</v>
      </c>
      <c r="AY316">
        <v>0</v>
      </c>
      <c r="AZ316">
        <v>0</v>
      </c>
      <c r="BA316">
        <v>91.67</v>
      </c>
      <c r="BB316">
        <v>63.33</v>
      </c>
      <c r="BC316">
        <v>27.5</v>
      </c>
      <c r="BD316">
        <v>57</v>
      </c>
      <c r="BE316">
        <f t="shared" si="9"/>
        <v>88.5</v>
      </c>
      <c r="BF316">
        <f t="shared" si="10"/>
        <v>67</v>
      </c>
      <c r="BG316" t="s">
        <v>759</v>
      </c>
    </row>
    <row r="317" spans="1:60" x14ac:dyDescent="0.3">
      <c r="A317" t="s">
        <v>112</v>
      </c>
      <c r="B317">
        <v>108652</v>
      </c>
      <c r="C317">
        <v>24103224</v>
      </c>
      <c r="D317" t="s">
        <v>113</v>
      </c>
      <c r="E317" t="s">
        <v>61</v>
      </c>
      <c r="F317" t="s">
        <v>66</v>
      </c>
      <c r="G317">
        <v>5.75</v>
      </c>
      <c r="H317">
        <v>8.5</v>
      </c>
      <c r="I317">
        <v>10</v>
      </c>
      <c r="K317" t="s">
        <v>63</v>
      </c>
      <c r="L317" t="s">
        <v>63</v>
      </c>
      <c r="M317" t="s">
        <v>63</v>
      </c>
      <c r="N317" t="s">
        <v>63</v>
      </c>
      <c r="P317" t="s">
        <v>63</v>
      </c>
      <c r="Q317" t="s">
        <v>63</v>
      </c>
      <c r="R317" t="s">
        <v>63</v>
      </c>
      <c r="S317" t="s">
        <v>63</v>
      </c>
      <c r="U317" t="s">
        <v>63</v>
      </c>
      <c r="V317" t="s">
        <v>63</v>
      </c>
      <c r="W317" t="s">
        <v>63</v>
      </c>
      <c r="X317" t="s">
        <v>63</v>
      </c>
      <c r="Z317" t="s">
        <v>63</v>
      </c>
      <c r="AA317" t="s">
        <v>63</v>
      </c>
      <c r="AB317" t="s">
        <v>63</v>
      </c>
      <c r="AC317" t="s">
        <v>63</v>
      </c>
      <c r="AD317" t="s">
        <v>63</v>
      </c>
      <c r="AE317">
        <v>98</v>
      </c>
      <c r="AF317">
        <v>10</v>
      </c>
      <c r="AG317">
        <v>80.83</v>
      </c>
      <c r="AH317">
        <v>80.83</v>
      </c>
      <c r="AI317">
        <v>80.83</v>
      </c>
      <c r="AJ317">
        <v>80.83</v>
      </c>
      <c r="AT317">
        <v>54.44</v>
      </c>
      <c r="AU317">
        <v>0</v>
      </c>
      <c r="AV317">
        <v>54.44</v>
      </c>
      <c r="AY317">
        <v>0</v>
      </c>
      <c r="AZ317">
        <v>0</v>
      </c>
      <c r="BA317">
        <v>80.83</v>
      </c>
      <c r="BB317">
        <v>63.24</v>
      </c>
      <c r="BC317">
        <v>24.25</v>
      </c>
      <c r="BD317">
        <v>56.92</v>
      </c>
      <c r="BE317">
        <f t="shared" si="9"/>
        <v>98</v>
      </c>
      <c r="BF317">
        <f t="shared" si="10"/>
        <v>66.916666666666657</v>
      </c>
      <c r="BG317" t="s">
        <v>759</v>
      </c>
    </row>
    <row r="318" spans="1:60" x14ac:dyDescent="0.3">
      <c r="A318" t="s">
        <v>630</v>
      </c>
      <c r="B318">
        <v>126456</v>
      </c>
      <c r="C318">
        <v>24316829</v>
      </c>
      <c r="D318" t="s">
        <v>631</v>
      </c>
      <c r="E318" t="s">
        <v>61</v>
      </c>
      <c r="F318" t="s">
        <v>72</v>
      </c>
      <c r="G318">
        <v>6</v>
      </c>
      <c r="H318">
        <v>10</v>
      </c>
      <c r="I318">
        <v>5</v>
      </c>
      <c r="J318" t="s">
        <v>63</v>
      </c>
      <c r="K318" t="s">
        <v>63</v>
      </c>
      <c r="M318" t="s">
        <v>63</v>
      </c>
      <c r="N318" t="s">
        <v>63</v>
      </c>
      <c r="O318" t="s">
        <v>63</v>
      </c>
      <c r="P318" t="s">
        <v>63</v>
      </c>
      <c r="R318" t="s">
        <v>63</v>
      </c>
      <c r="S318" t="s">
        <v>63</v>
      </c>
      <c r="T318" t="s">
        <v>63</v>
      </c>
      <c r="U318" t="s">
        <v>63</v>
      </c>
      <c r="W318" t="s">
        <v>63</v>
      </c>
      <c r="X318" t="s">
        <v>63</v>
      </c>
      <c r="Y318" t="s">
        <v>63</v>
      </c>
      <c r="Z318" t="s">
        <v>63</v>
      </c>
      <c r="AB318" t="s">
        <v>63</v>
      </c>
      <c r="AC318" t="s">
        <v>63</v>
      </c>
      <c r="AD318" t="s">
        <v>63</v>
      </c>
      <c r="AE318">
        <v>107.5</v>
      </c>
      <c r="AF318">
        <v>10</v>
      </c>
      <c r="AG318">
        <v>70</v>
      </c>
      <c r="AH318">
        <v>70</v>
      </c>
      <c r="AI318">
        <v>70</v>
      </c>
      <c r="AJ318">
        <v>70</v>
      </c>
      <c r="AT318">
        <v>59.72</v>
      </c>
      <c r="AU318">
        <v>0</v>
      </c>
      <c r="AV318">
        <v>59.72</v>
      </c>
      <c r="AY318">
        <v>0</v>
      </c>
      <c r="AZ318">
        <v>0</v>
      </c>
      <c r="BA318">
        <v>70</v>
      </c>
      <c r="BB318">
        <v>63.15</v>
      </c>
      <c r="BC318">
        <v>21</v>
      </c>
      <c r="BD318">
        <v>56.83</v>
      </c>
      <c r="BE318">
        <f t="shared" si="9"/>
        <v>107.5</v>
      </c>
      <c r="BF318">
        <f t="shared" si="10"/>
        <v>66.833333333333343</v>
      </c>
      <c r="BG318" t="s">
        <v>759</v>
      </c>
    </row>
    <row r="319" spans="1:60" x14ac:dyDescent="0.3">
      <c r="A319" t="s">
        <v>132</v>
      </c>
      <c r="B319">
        <v>122833</v>
      </c>
      <c r="C319">
        <v>24274754</v>
      </c>
      <c r="D319" t="s">
        <v>133</v>
      </c>
      <c r="E319" t="s">
        <v>61</v>
      </c>
      <c r="F319" t="s">
        <v>69</v>
      </c>
      <c r="G319">
        <v>5</v>
      </c>
      <c r="H319">
        <v>8.5</v>
      </c>
      <c r="I319">
        <v>9.5</v>
      </c>
      <c r="J319" t="s">
        <v>63</v>
      </c>
      <c r="L319" t="s">
        <v>63</v>
      </c>
      <c r="M319" t="s">
        <v>63</v>
      </c>
      <c r="N319" t="s">
        <v>63</v>
      </c>
      <c r="O319" t="s">
        <v>63</v>
      </c>
      <c r="Q319" t="s">
        <v>63</v>
      </c>
      <c r="R319" t="s">
        <v>63</v>
      </c>
      <c r="S319" t="s">
        <v>63</v>
      </c>
      <c r="T319" t="s">
        <v>63</v>
      </c>
      <c r="V319" t="s">
        <v>63</v>
      </c>
      <c r="W319" t="s">
        <v>63</v>
      </c>
      <c r="X319" t="s">
        <v>63</v>
      </c>
      <c r="Y319" t="s">
        <v>63</v>
      </c>
      <c r="AA319" t="s">
        <v>63</v>
      </c>
      <c r="AB319" t="s">
        <v>63</v>
      </c>
      <c r="AC319" t="s">
        <v>63</v>
      </c>
      <c r="AD319" t="s">
        <v>63</v>
      </c>
      <c r="AE319">
        <v>105</v>
      </c>
      <c r="AF319">
        <v>10</v>
      </c>
      <c r="AG319">
        <v>76.67</v>
      </c>
      <c r="AH319">
        <v>76.67</v>
      </c>
      <c r="AI319">
        <v>76.67</v>
      </c>
      <c r="AJ319">
        <v>76.67</v>
      </c>
      <c r="AT319">
        <v>56.11</v>
      </c>
      <c r="AU319">
        <v>0</v>
      </c>
      <c r="AV319">
        <v>56.11</v>
      </c>
      <c r="AY319">
        <v>0</v>
      </c>
      <c r="AZ319">
        <v>0</v>
      </c>
      <c r="BA319">
        <v>76.67</v>
      </c>
      <c r="BB319">
        <v>62.96</v>
      </c>
      <c r="BC319">
        <v>23</v>
      </c>
      <c r="BD319">
        <v>56.67</v>
      </c>
      <c r="BE319">
        <f t="shared" si="9"/>
        <v>105</v>
      </c>
      <c r="BF319">
        <f t="shared" si="10"/>
        <v>68</v>
      </c>
      <c r="BG319" t="s">
        <v>759</v>
      </c>
    </row>
    <row r="320" spans="1:60" x14ac:dyDescent="0.3">
      <c r="A320" t="s">
        <v>73</v>
      </c>
      <c r="B320">
        <v>122963</v>
      </c>
      <c r="C320">
        <v>24275825</v>
      </c>
      <c r="D320" t="s">
        <v>74</v>
      </c>
      <c r="E320" t="s">
        <v>61</v>
      </c>
      <c r="F320" t="s">
        <v>72</v>
      </c>
      <c r="G320">
        <v>4.5</v>
      </c>
      <c r="H320">
        <v>6</v>
      </c>
      <c r="I320">
        <v>2.5</v>
      </c>
      <c r="J320" t="s">
        <v>63</v>
      </c>
      <c r="K320" t="s">
        <v>63</v>
      </c>
      <c r="M320" t="s">
        <v>63</v>
      </c>
      <c r="N320" t="s">
        <v>63</v>
      </c>
      <c r="O320" t="s">
        <v>63</v>
      </c>
      <c r="P320" t="s">
        <v>63</v>
      </c>
      <c r="R320" t="s">
        <v>63</v>
      </c>
      <c r="S320" t="s">
        <v>63</v>
      </c>
      <c r="T320" t="s">
        <v>63</v>
      </c>
      <c r="U320" t="s">
        <v>63</v>
      </c>
      <c r="W320" t="s">
        <v>63</v>
      </c>
      <c r="X320" t="s">
        <v>63</v>
      </c>
      <c r="Y320" t="s">
        <v>63</v>
      </c>
      <c r="Z320" t="s">
        <v>63</v>
      </c>
      <c r="AB320" t="s">
        <v>63</v>
      </c>
      <c r="AC320" t="s">
        <v>63</v>
      </c>
      <c r="AD320" t="s">
        <v>63</v>
      </c>
      <c r="AE320">
        <v>129</v>
      </c>
      <c r="AF320">
        <v>10</v>
      </c>
      <c r="AG320">
        <v>43.33</v>
      </c>
      <c r="AH320">
        <v>43.33</v>
      </c>
      <c r="AI320">
        <v>43.33</v>
      </c>
      <c r="AJ320">
        <v>43.33</v>
      </c>
      <c r="AT320">
        <v>71.67</v>
      </c>
      <c r="AU320">
        <v>0</v>
      </c>
      <c r="AV320">
        <v>71.67</v>
      </c>
      <c r="AY320">
        <v>0</v>
      </c>
      <c r="AZ320">
        <v>0</v>
      </c>
      <c r="BA320">
        <v>43.33</v>
      </c>
      <c r="BB320">
        <v>62.22</v>
      </c>
      <c r="BC320">
        <v>13</v>
      </c>
      <c r="BD320">
        <v>56</v>
      </c>
      <c r="BE320">
        <f t="shared" si="9"/>
        <v>129</v>
      </c>
      <c r="BF320">
        <f t="shared" si="10"/>
        <v>66</v>
      </c>
      <c r="BG320" t="s">
        <v>759</v>
      </c>
    </row>
    <row r="321" spans="1:59" x14ac:dyDescent="0.3">
      <c r="A321" t="s">
        <v>298</v>
      </c>
      <c r="B321">
        <v>132979</v>
      </c>
      <c r="C321">
        <v>13983559</v>
      </c>
      <c r="D321" t="s">
        <v>299</v>
      </c>
      <c r="E321" t="s">
        <v>61</v>
      </c>
      <c r="F321" t="s">
        <v>66</v>
      </c>
      <c r="G321">
        <v>7.25</v>
      </c>
      <c r="H321">
        <v>9</v>
      </c>
      <c r="I321">
        <v>6</v>
      </c>
      <c r="K321" t="s">
        <v>63</v>
      </c>
      <c r="L321" t="s">
        <v>63</v>
      </c>
      <c r="M321" t="s">
        <v>63</v>
      </c>
      <c r="N321" t="s">
        <v>63</v>
      </c>
      <c r="P321" t="s">
        <v>63</v>
      </c>
      <c r="Q321" t="s">
        <v>63</v>
      </c>
      <c r="R321" t="s">
        <v>63</v>
      </c>
      <c r="S321" t="s">
        <v>63</v>
      </c>
      <c r="U321" t="s">
        <v>63</v>
      </c>
      <c r="V321" t="s">
        <v>63</v>
      </c>
      <c r="W321" t="s">
        <v>63</v>
      </c>
      <c r="X321" t="s">
        <v>63</v>
      </c>
      <c r="Z321" t="s">
        <v>63</v>
      </c>
      <c r="AA321" t="s">
        <v>63</v>
      </c>
      <c r="AB321" t="s">
        <v>63</v>
      </c>
      <c r="AC321" t="s">
        <v>63</v>
      </c>
      <c r="AD321" t="s">
        <v>63</v>
      </c>
      <c r="AE321">
        <v>101</v>
      </c>
      <c r="AF321">
        <v>10</v>
      </c>
      <c r="AG321">
        <v>74.17</v>
      </c>
      <c r="AH321">
        <v>74.17</v>
      </c>
      <c r="AI321">
        <v>74.17</v>
      </c>
      <c r="AJ321">
        <v>74.17</v>
      </c>
      <c r="AT321">
        <v>56.11</v>
      </c>
      <c r="AU321">
        <v>0</v>
      </c>
      <c r="AV321">
        <v>56.11</v>
      </c>
      <c r="AY321">
        <v>0</v>
      </c>
      <c r="AZ321">
        <v>0</v>
      </c>
      <c r="BA321">
        <v>74.17</v>
      </c>
      <c r="BB321">
        <v>62.13</v>
      </c>
      <c r="BC321">
        <v>22.25</v>
      </c>
      <c r="BD321">
        <v>55.92</v>
      </c>
      <c r="BE321">
        <f t="shared" si="9"/>
        <v>101</v>
      </c>
      <c r="BF321">
        <f t="shared" si="10"/>
        <v>65.916666666666657</v>
      </c>
      <c r="BG321" t="s">
        <v>759</v>
      </c>
    </row>
    <row r="322" spans="1:59" x14ac:dyDescent="0.3">
      <c r="A322" t="s">
        <v>692</v>
      </c>
      <c r="B322">
        <v>128627</v>
      </c>
      <c r="C322">
        <v>24349044</v>
      </c>
      <c r="D322" t="s">
        <v>693</v>
      </c>
      <c r="E322" t="s">
        <v>61</v>
      </c>
      <c r="F322" t="s">
        <v>77</v>
      </c>
      <c r="G322">
        <v>9.5</v>
      </c>
      <c r="H322">
        <v>8</v>
      </c>
      <c r="I322">
        <v>7</v>
      </c>
      <c r="J322" t="s">
        <v>63</v>
      </c>
      <c r="K322" t="s">
        <v>63</v>
      </c>
      <c r="L322" t="s">
        <v>63</v>
      </c>
      <c r="N322" t="s">
        <v>63</v>
      </c>
      <c r="O322" t="s">
        <v>63</v>
      </c>
      <c r="P322" t="s">
        <v>63</v>
      </c>
      <c r="Q322" t="s">
        <v>63</v>
      </c>
      <c r="S322" t="s">
        <v>63</v>
      </c>
      <c r="T322" t="s">
        <v>63</v>
      </c>
      <c r="U322" t="s">
        <v>63</v>
      </c>
      <c r="V322" t="s">
        <v>63</v>
      </c>
      <c r="X322" t="s">
        <v>63</v>
      </c>
      <c r="Y322" t="s">
        <v>63</v>
      </c>
      <c r="Z322" t="s">
        <v>63</v>
      </c>
      <c r="AA322" t="s">
        <v>63</v>
      </c>
      <c r="AC322" t="s">
        <v>63</v>
      </c>
      <c r="AD322" t="s">
        <v>63</v>
      </c>
      <c r="AE322">
        <v>93.5</v>
      </c>
      <c r="AF322">
        <v>10</v>
      </c>
      <c r="AG322">
        <v>81.67</v>
      </c>
      <c r="AH322">
        <v>81.67</v>
      </c>
      <c r="AI322">
        <v>81.67</v>
      </c>
      <c r="AJ322">
        <v>81.67</v>
      </c>
      <c r="AT322">
        <v>51.94</v>
      </c>
      <c r="AU322">
        <v>0</v>
      </c>
      <c r="AV322">
        <v>51.94</v>
      </c>
      <c r="AY322">
        <v>0</v>
      </c>
      <c r="AZ322">
        <v>0</v>
      </c>
      <c r="BA322">
        <v>81.67</v>
      </c>
      <c r="BB322">
        <v>61.85</v>
      </c>
      <c r="BC322">
        <v>24.5</v>
      </c>
      <c r="BD322">
        <v>55.67</v>
      </c>
      <c r="BE322">
        <f t="shared" si="9"/>
        <v>93.5</v>
      </c>
      <c r="BF322">
        <f t="shared" si="10"/>
        <v>65.666666666666671</v>
      </c>
      <c r="BG322" t="s">
        <v>759</v>
      </c>
    </row>
    <row r="323" spans="1:59" x14ac:dyDescent="0.3">
      <c r="A323" t="s">
        <v>530</v>
      </c>
      <c r="B323">
        <v>128450</v>
      </c>
      <c r="C323">
        <v>24344913</v>
      </c>
      <c r="D323" t="s">
        <v>531</v>
      </c>
      <c r="E323" t="s">
        <v>61</v>
      </c>
      <c r="F323" t="s">
        <v>69</v>
      </c>
      <c r="G323">
        <v>5</v>
      </c>
      <c r="H323">
        <v>10</v>
      </c>
      <c r="I323">
        <v>9.5</v>
      </c>
      <c r="J323" t="s">
        <v>63</v>
      </c>
      <c r="L323" t="s">
        <v>63</v>
      </c>
      <c r="M323" t="s">
        <v>63</v>
      </c>
      <c r="N323" t="s">
        <v>63</v>
      </c>
      <c r="O323" t="s">
        <v>63</v>
      </c>
      <c r="Q323" t="s">
        <v>63</v>
      </c>
      <c r="R323" t="s">
        <v>63</v>
      </c>
      <c r="S323" t="s">
        <v>63</v>
      </c>
      <c r="T323" t="s">
        <v>63</v>
      </c>
      <c r="V323" t="s">
        <v>63</v>
      </c>
      <c r="W323" t="s">
        <v>63</v>
      </c>
      <c r="X323" t="s">
        <v>63</v>
      </c>
      <c r="Y323" t="s">
        <v>63</v>
      </c>
      <c r="AA323" t="s">
        <v>63</v>
      </c>
      <c r="AB323" t="s">
        <v>63</v>
      </c>
      <c r="AC323" t="s">
        <v>63</v>
      </c>
      <c r="AD323" t="s">
        <v>63</v>
      </c>
      <c r="AE323">
        <v>93</v>
      </c>
      <c r="AF323">
        <v>10</v>
      </c>
      <c r="AG323">
        <v>81.67</v>
      </c>
      <c r="AH323">
        <v>81.67</v>
      </c>
      <c r="AI323">
        <v>81.67</v>
      </c>
      <c r="AJ323">
        <v>81.67</v>
      </c>
      <c r="AT323">
        <v>51.67</v>
      </c>
      <c r="AU323">
        <v>0</v>
      </c>
      <c r="AV323">
        <v>51.67</v>
      </c>
      <c r="AY323">
        <v>0</v>
      </c>
      <c r="AZ323">
        <v>0</v>
      </c>
      <c r="BA323">
        <v>81.67</v>
      </c>
      <c r="BB323">
        <v>61.67</v>
      </c>
      <c r="BC323">
        <v>24.5</v>
      </c>
      <c r="BD323">
        <v>55.5</v>
      </c>
      <c r="BE323">
        <f t="shared" si="9"/>
        <v>93</v>
      </c>
      <c r="BF323">
        <f t="shared" si="10"/>
        <v>65.5</v>
      </c>
      <c r="BG323" t="s">
        <v>759</v>
      </c>
    </row>
    <row r="324" spans="1:59" x14ac:dyDescent="0.3">
      <c r="A324" t="s">
        <v>668</v>
      </c>
      <c r="B324">
        <v>89206</v>
      </c>
      <c r="C324">
        <v>13179221</v>
      </c>
      <c r="D324" t="s">
        <v>669</v>
      </c>
      <c r="E324" t="s">
        <v>61</v>
      </c>
      <c r="F324" t="s">
        <v>62</v>
      </c>
      <c r="G324">
        <v>6</v>
      </c>
      <c r="H324">
        <v>9.25</v>
      </c>
      <c r="I324">
        <v>8.5</v>
      </c>
      <c r="J324" t="s">
        <v>63</v>
      </c>
      <c r="K324" t="s">
        <v>63</v>
      </c>
      <c r="L324" t="s">
        <v>63</v>
      </c>
      <c r="M324" t="s">
        <v>63</v>
      </c>
      <c r="O324" t="s">
        <v>63</v>
      </c>
      <c r="P324" t="s">
        <v>63</v>
      </c>
      <c r="Q324" t="s">
        <v>63</v>
      </c>
      <c r="R324" t="s">
        <v>63</v>
      </c>
      <c r="T324" t="s">
        <v>63</v>
      </c>
      <c r="U324" t="s">
        <v>63</v>
      </c>
      <c r="V324" t="s">
        <v>63</v>
      </c>
      <c r="W324" t="s">
        <v>63</v>
      </c>
      <c r="Y324" t="s">
        <v>63</v>
      </c>
      <c r="Z324" t="s">
        <v>63</v>
      </c>
      <c r="AA324" t="s">
        <v>63</v>
      </c>
      <c r="AB324" t="s">
        <v>63</v>
      </c>
      <c r="AD324" t="s">
        <v>63</v>
      </c>
      <c r="AE324">
        <v>94</v>
      </c>
      <c r="AF324">
        <v>10</v>
      </c>
      <c r="AG324">
        <v>79.17</v>
      </c>
      <c r="AH324">
        <v>79.17</v>
      </c>
      <c r="AI324">
        <v>79.17</v>
      </c>
      <c r="AJ324">
        <v>79.17</v>
      </c>
      <c r="AT324">
        <v>52.22</v>
      </c>
      <c r="AU324">
        <v>0</v>
      </c>
      <c r="AV324">
        <v>52.22</v>
      </c>
      <c r="AY324">
        <v>0</v>
      </c>
      <c r="AZ324">
        <v>0</v>
      </c>
      <c r="BA324">
        <v>79.17</v>
      </c>
      <c r="BB324">
        <v>61.2</v>
      </c>
      <c r="BC324">
        <v>23.75</v>
      </c>
      <c r="BD324">
        <v>55.08</v>
      </c>
      <c r="BE324">
        <f t="shared" ref="BE324:BE344" si="11">IF(AE324&gt;0,AE324,AD324)</f>
        <v>94</v>
      </c>
      <c r="BF324">
        <f t="shared" ref="BF324:BF344" si="12">G324+H324+I324+AF324+(BE324/3)</f>
        <v>65.083333333333329</v>
      </c>
      <c r="BG324" t="s">
        <v>759</v>
      </c>
    </row>
    <row r="325" spans="1:59" x14ac:dyDescent="0.3">
      <c r="A325" t="s">
        <v>104</v>
      </c>
      <c r="B325">
        <v>108232</v>
      </c>
      <c r="C325">
        <v>24094350</v>
      </c>
      <c r="D325" t="s">
        <v>105</v>
      </c>
      <c r="E325" t="s">
        <v>61</v>
      </c>
      <c r="F325" t="s">
        <v>62</v>
      </c>
      <c r="G325">
        <v>6.25</v>
      </c>
      <c r="H325">
        <v>9.75</v>
      </c>
      <c r="I325">
        <v>7.5</v>
      </c>
      <c r="J325" t="s">
        <v>63</v>
      </c>
      <c r="K325" t="s">
        <v>63</v>
      </c>
      <c r="L325" t="s">
        <v>63</v>
      </c>
      <c r="M325" t="s">
        <v>63</v>
      </c>
      <c r="O325" t="s">
        <v>63</v>
      </c>
      <c r="P325" t="s">
        <v>63</v>
      </c>
      <c r="Q325" t="s">
        <v>63</v>
      </c>
      <c r="R325" t="s">
        <v>63</v>
      </c>
      <c r="T325" t="s">
        <v>63</v>
      </c>
      <c r="U325" t="s">
        <v>63</v>
      </c>
      <c r="V325" t="s">
        <v>63</v>
      </c>
      <c r="W325" t="s">
        <v>63</v>
      </c>
      <c r="Y325" t="s">
        <v>63</v>
      </c>
      <c r="Z325" t="s">
        <v>63</v>
      </c>
      <c r="AA325" t="s">
        <v>63</v>
      </c>
      <c r="AB325" t="s">
        <v>63</v>
      </c>
      <c r="AD325" t="s">
        <v>63</v>
      </c>
      <c r="AE325">
        <v>94</v>
      </c>
      <c r="AF325">
        <v>10</v>
      </c>
      <c r="AG325">
        <v>78.33</v>
      </c>
      <c r="AH325">
        <v>78.33</v>
      </c>
      <c r="AI325">
        <v>78.33</v>
      </c>
      <c r="AJ325">
        <v>78.33</v>
      </c>
      <c r="AT325">
        <v>52.22</v>
      </c>
      <c r="AU325">
        <v>0</v>
      </c>
      <c r="AV325">
        <v>52.22</v>
      </c>
      <c r="AY325">
        <v>0</v>
      </c>
      <c r="AZ325">
        <v>0</v>
      </c>
      <c r="BA325">
        <v>78.33</v>
      </c>
      <c r="BB325">
        <v>60.93</v>
      </c>
      <c r="BC325">
        <v>23.5</v>
      </c>
      <c r="BD325">
        <v>54.83</v>
      </c>
      <c r="BE325">
        <f t="shared" si="11"/>
        <v>94</v>
      </c>
      <c r="BF325">
        <f t="shared" si="12"/>
        <v>64.833333333333329</v>
      </c>
      <c r="BG325" t="s">
        <v>759</v>
      </c>
    </row>
    <row r="326" spans="1:59" x14ac:dyDescent="0.3">
      <c r="A326" t="s">
        <v>128</v>
      </c>
      <c r="B326">
        <v>127696</v>
      </c>
      <c r="C326">
        <v>24335291</v>
      </c>
      <c r="D326" t="s">
        <v>129</v>
      </c>
      <c r="E326" t="s">
        <v>61</v>
      </c>
      <c r="F326" t="s">
        <v>69</v>
      </c>
      <c r="G326">
        <v>3.5</v>
      </c>
      <c r="H326">
        <v>10</v>
      </c>
      <c r="I326">
        <v>9.5</v>
      </c>
      <c r="J326" t="s">
        <v>63</v>
      </c>
      <c r="L326" t="s">
        <v>63</v>
      </c>
      <c r="M326" t="s">
        <v>63</v>
      </c>
      <c r="N326" t="s">
        <v>63</v>
      </c>
      <c r="O326" t="s">
        <v>63</v>
      </c>
      <c r="Q326" t="s">
        <v>63</v>
      </c>
      <c r="R326" t="s">
        <v>63</v>
      </c>
      <c r="S326" t="s">
        <v>63</v>
      </c>
      <c r="T326" t="s">
        <v>63</v>
      </c>
      <c r="V326" t="s">
        <v>63</v>
      </c>
      <c r="W326" t="s">
        <v>63</v>
      </c>
      <c r="X326" t="s">
        <v>63</v>
      </c>
      <c r="Y326" t="s">
        <v>63</v>
      </c>
      <c r="AA326" t="s">
        <v>63</v>
      </c>
      <c r="AB326" t="s">
        <v>63</v>
      </c>
      <c r="AC326" t="s">
        <v>63</v>
      </c>
      <c r="AD326" t="s">
        <v>63</v>
      </c>
      <c r="AE326">
        <v>95.5</v>
      </c>
      <c r="AF326">
        <v>10</v>
      </c>
      <c r="AG326">
        <v>76.67</v>
      </c>
      <c r="AH326">
        <v>76.67</v>
      </c>
      <c r="AI326">
        <v>76.67</v>
      </c>
      <c r="AJ326">
        <v>76.67</v>
      </c>
      <c r="AT326">
        <v>53.06</v>
      </c>
      <c r="AU326">
        <v>0</v>
      </c>
      <c r="AV326">
        <v>53.06</v>
      </c>
      <c r="AY326">
        <v>0</v>
      </c>
      <c r="AZ326">
        <v>0</v>
      </c>
      <c r="BA326">
        <v>76.67</v>
      </c>
      <c r="BB326">
        <v>60.93</v>
      </c>
      <c r="BC326">
        <v>23</v>
      </c>
      <c r="BD326">
        <v>54.83</v>
      </c>
      <c r="BE326">
        <f t="shared" si="11"/>
        <v>95.5</v>
      </c>
      <c r="BF326">
        <f t="shared" si="12"/>
        <v>64.833333333333329</v>
      </c>
      <c r="BG326" t="s">
        <v>759</v>
      </c>
    </row>
    <row r="327" spans="1:59" x14ac:dyDescent="0.3">
      <c r="A327" t="s">
        <v>126</v>
      </c>
      <c r="B327">
        <v>123727</v>
      </c>
      <c r="C327">
        <v>24280976</v>
      </c>
      <c r="D327" t="s">
        <v>127</v>
      </c>
      <c r="E327" t="s">
        <v>61</v>
      </c>
      <c r="F327" t="s">
        <v>77</v>
      </c>
      <c r="G327">
        <v>5.25</v>
      </c>
      <c r="H327">
        <v>10</v>
      </c>
      <c r="I327">
        <v>10</v>
      </c>
      <c r="J327" t="s">
        <v>63</v>
      </c>
      <c r="K327" t="s">
        <v>63</v>
      </c>
      <c r="L327" t="s">
        <v>63</v>
      </c>
      <c r="N327" t="s">
        <v>63</v>
      </c>
      <c r="O327" t="s">
        <v>63</v>
      </c>
      <c r="P327" t="s">
        <v>63</v>
      </c>
      <c r="Q327" t="s">
        <v>63</v>
      </c>
      <c r="S327" t="s">
        <v>63</v>
      </c>
      <c r="T327" t="s">
        <v>63</v>
      </c>
      <c r="U327" t="s">
        <v>63</v>
      </c>
      <c r="V327" t="s">
        <v>63</v>
      </c>
      <c r="X327" t="s">
        <v>63</v>
      </c>
      <c r="Y327" t="s">
        <v>63</v>
      </c>
      <c r="Z327" t="s">
        <v>63</v>
      </c>
      <c r="AA327" t="s">
        <v>63</v>
      </c>
      <c r="AC327" t="s">
        <v>63</v>
      </c>
      <c r="AD327" t="s">
        <v>63</v>
      </c>
      <c r="AE327">
        <v>88</v>
      </c>
      <c r="AF327">
        <v>10</v>
      </c>
      <c r="AG327">
        <v>84.17</v>
      </c>
      <c r="AH327">
        <v>84.17</v>
      </c>
      <c r="AI327">
        <v>84.17</v>
      </c>
      <c r="AJ327">
        <v>84.17</v>
      </c>
      <c r="AT327">
        <v>48.89</v>
      </c>
      <c r="AU327">
        <v>0</v>
      </c>
      <c r="AV327">
        <v>48.89</v>
      </c>
      <c r="AY327">
        <v>0</v>
      </c>
      <c r="AZ327">
        <v>0</v>
      </c>
      <c r="BA327">
        <v>84.17</v>
      </c>
      <c r="BB327">
        <v>60.65</v>
      </c>
      <c r="BC327">
        <v>25.25</v>
      </c>
      <c r="BD327">
        <v>54.58</v>
      </c>
      <c r="BE327">
        <f t="shared" si="11"/>
        <v>88</v>
      </c>
      <c r="BF327">
        <f t="shared" si="12"/>
        <v>64.583333333333329</v>
      </c>
      <c r="BG327" t="s">
        <v>759</v>
      </c>
    </row>
    <row r="328" spans="1:59" x14ac:dyDescent="0.3">
      <c r="A328" t="s">
        <v>368</v>
      </c>
      <c r="B328">
        <v>122904</v>
      </c>
      <c r="C328">
        <v>24274737</v>
      </c>
      <c r="D328" t="s">
        <v>369</v>
      </c>
      <c r="E328" t="s">
        <v>61</v>
      </c>
      <c r="F328" t="s">
        <v>66</v>
      </c>
      <c r="G328">
        <v>8</v>
      </c>
      <c r="H328">
        <v>10</v>
      </c>
      <c r="I328">
        <v>9</v>
      </c>
      <c r="K328" t="s">
        <v>63</v>
      </c>
      <c r="L328" t="s">
        <v>63</v>
      </c>
      <c r="M328" t="s">
        <v>63</v>
      </c>
      <c r="N328" t="s">
        <v>63</v>
      </c>
      <c r="P328" t="s">
        <v>63</v>
      </c>
      <c r="Q328" t="s">
        <v>63</v>
      </c>
      <c r="R328" t="s">
        <v>63</v>
      </c>
      <c r="S328" t="s">
        <v>63</v>
      </c>
      <c r="U328" t="s">
        <v>63</v>
      </c>
      <c r="V328" t="s">
        <v>63</v>
      </c>
      <c r="W328" t="s">
        <v>63</v>
      </c>
      <c r="X328" t="s">
        <v>63</v>
      </c>
      <c r="Z328" t="s">
        <v>63</v>
      </c>
      <c r="AA328" t="s">
        <v>63</v>
      </c>
      <c r="AB328" t="s">
        <v>63</v>
      </c>
      <c r="AC328" t="s">
        <v>63</v>
      </c>
      <c r="AD328" t="s">
        <v>63</v>
      </c>
      <c r="AE328">
        <v>81</v>
      </c>
      <c r="AF328">
        <v>10</v>
      </c>
      <c r="AG328">
        <v>90</v>
      </c>
      <c r="AH328">
        <v>90</v>
      </c>
      <c r="AI328">
        <v>90</v>
      </c>
      <c r="AJ328">
        <v>90</v>
      </c>
      <c r="AT328">
        <v>45</v>
      </c>
      <c r="AU328">
        <v>0</v>
      </c>
      <c r="AV328">
        <v>45</v>
      </c>
      <c r="AY328">
        <v>0</v>
      </c>
      <c r="AZ328">
        <v>0</v>
      </c>
      <c r="BA328">
        <v>90</v>
      </c>
      <c r="BB328">
        <v>60</v>
      </c>
      <c r="BC328">
        <v>27</v>
      </c>
      <c r="BD328">
        <v>54</v>
      </c>
      <c r="BE328">
        <f t="shared" si="11"/>
        <v>81</v>
      </c>
      <c r="BF328">
        <f t="shared" si="12"/>
        <v>64</v>
      </c>
      <c r="BG328" t="s">
        <v>759</v>
      </c>
    </row>
    <row r="329" spans="1:59" x14ac:dyDescent="0.3">
      <c r="A329" t="s">
        <v>82</v>
      </c>
      <c r="B329">
        <v>127947</v>
      </c>
      <c r="C329">
        <v>24337875</v>
      </c>
      <c r="D329" t="s">
        <v>83</v>
      </c>
      <c r="E329" t="s">
        <v>61</v>
      </c>
      <c r="F329" t="s">
        <v>69</v>
      </c>
      <c r="G329">
        <v>7</v>
      </c>
      <c r="H329">
        <v>6.75</v>
      </c>
      <c r="I329">
        <v>9.5</v>
      </c>
      <c r="J329" t="s">
        <v>63</v>
      </c>
      <c r="L329" t="s">
        <v>63</v>
      </c>
      <c r="M329" t="s">
        <v>63</v>
      </c>
      <c r="N329" t="s">
        <v>63</v>
      </c>
      <c r="O329" t="s">
        <v>63</v>
      </c>
      <c r="Q329" t="s">
        <v>63</v>
      </c>
      <c r="R329" t="s">
        <v>63</v>
      </c>
      <c r="S329" t="s">
        <v>63</v>
      </c>
      <c r="T329" t="s">
        <v>63</v>
      </c>
      <c r="V329" t="s">
        <v>63</v>
      </c>
      <c r="W329" t="s">
        <v>63</v>
      </c>
      <c r="X329" t="s">
        <v>63</v>
      </c>
      <c r="Y329" t="s">
        <v>63</v>
      </c>
      <c r="AA329" t="s">
        <v>63</v>
      </c>
      <c r="AB329" t="s">
        <v>63</v>
      </c>
      <c r="AC329" t="s">
        <v>63</v>
      </c>
      <c r="AD329" t="s">
        <v>63</v>
      </c>
      <c r="AE329">
        <v>91.5</v>
      </c>
      <c r="AF329">
        <v>10</v>
      </c>
      <c r="AG329">
        <v>77.5</v>
      </c>
      <c r="AH329">
        <v>77.5</v>
      </c>
      <c r="AI329">
        <v>77.5</v>
      </c>
      <c r="AJ329">
        <v>77.5</v>
      </c>
      <c r="AT329">
        <v>50.83</v>
      </c>
      <c r="AU329">
        <v>0</v>
      </c>
      <c r="AV329">
        <v>50.83</v>
      </c>
      <c r="AY329">
        <v>0</v>
      </c>
      <c r="AZ329">
        <v>0</v>
      </c>
      <c r="BA329">
        <v>77.5</v>
      </c>
      <c r="BB329">
        <v>59.72</v>
      </c>
      <c r="BC329">
        <v>23.25</v>
      </c>
      <c r="BD329">
        <v>53.75</v>
      </c>
      <c r="BE329">
        <f t="shared" si="11"/>
        <v>91.5</v>
      </c>
      <c r="BF329">
        <f t="shared" si="12"/>
        <v>63.75</v>
      </c>
      <c r="BG329" t="s">
        <v>759</v>
      </c>
    </row>
    <row r="330" spans="1:59" x14ac:dyDescent="0.3">
      <c r="A330" t="s">
        <v>710</v>
      </c>
      <c r="B330">
        <v>133951</v>
      </c>
      <c r="C330">
        <v>24385526</v>
      </c>
      <c r="D330" t="s">
        <v>711</v>
      </c>
      <c r="E330" t="s">
        <v>61</v>
      </c>
      <c r="F330" t="s">
        <v>77</v>
      </c>
      <c r="G330">
        <v>7</v>
      </c>
      <c r="H330">
        <v>6.25</v>
      </c>
      <c r="I330">
        <v>9</v>
      </c>
      <c r="J330" t="s">
        <v>63</v>
      </c>
      <c r="K330" t="s">
        <v>63</v>
      </c>
      <c r="L330" t="s">
        <v>63</v>
      </c>
      <c r="N330" t="s">
        <v>63</v>
      </c>
      <c r="O330" t="s">
        <v>63</v>
      </c>
      <c r="P330" t="s">
        <v>63</v>
      </c>
      <c r="Q330" t="s">
        <v>63</v>
      </c>
      <c r="S330" t="s">
        <v>63</v>
      </c>
      <c r="T330" t="s">
        <v>63</v>
      </c>
      <c r="U330" t="s">
        <v>63</v>
      </c>
      <c r="V330" t="s">
        <v>63</v>
      </c>
      <c r="X330" t="s">
        <v>63</v>
      </c>
      <c r="Y330" t="s">
        <v>63</v>
      </c>
      <c r="Z330" t="s">
        <v>63</v>
      </c>
      <c r="AA330" t="s">
        <v>63</v>
      </c>
      <c r="AC330" t="s">
        <v>63</v>
      </c>
      <c r="AD330" t="s">
        <v>63</v>
      </c>
      <c r="AE330">
        <v>94.5</v>
      </c>
      <c r="AF330">
        <v>10</v>
      </c>
      <c r="AG330">
        <v>74.17</v>
      </c>
      <c r="AH330">
        <v>74.17</v>
      </c>
      <c r="AI330">
        <v>74.17</v>
      </c>
      <c r="AJ330">
        <v>74.17</v>
      </c>
      <c r="AT330">
        <v>52.5</v>
      </c>
      <c r="AU330">
        <v>0</v>
      </c>
      <c r="AV330">
        <v>52.5</v>
      </c>
      <c r="AY330">
        <v>0</v>
      </c>
      <c r="AZ330">
        <v>0</v>
      </c>
      <c r="BA330">
        <v>74.17</v>
      </c>
      <c r="BB330">
        <v>59.72</v>
      </c>
      <c r="BC330">
        <v>22.25</v>
      </c>
      <c r="BD330">
        <v>53.75</v>
      </c>
      <c r="BE330">
        <f t="shared" si="11"/>
        <v>94.5</v>
      </c>
      <c r="BF330">
        <f t="shared" si="12"/>
        <v>63.75</v>
      </c>
      <c r="BG330" t="s">
        <v>759</v>
      </c>
    </row>
    <row r="331" spans="1:59" x14ac:dyDescent="0.3">
      <c r="A331" t="s">
        <v>80</v>
      </c>
      <c r="B331">
        <v>123152</v>
      </c>
      <c r="C331">
        <v>24275417</v>
      </c>
      <c r="D331" t="s">
        <v>81</v>
      </c>
      <c r="E331" t="s">
        <v>61</v>
      </c>
      <c r="F331" t="s">
        <v>72</v>
      </c>
      <c r="G331">
        <v>6.5</v>
      </c>
      <c r="H331">
        <v>3.75</v>
      </c>
      <c r="I331">
        <v>9.5</v>
      </c>
      <c r="J331" t="s">
        <v>63</v>
      </c>
      <c r="K331" t="s">
        <v>63</v>
      </c>
      <c r="M331" t="s">
        <v>63</v>
      </c>
      <c r="N331" t="s">
        <v>63</v>
      </c>
      <c r="O331" t="s">
        <v>63</v>
      </c>
      <c r="P331" t="s">
        <v>63</v>
      </c>
      <c r="R331" t="s">
        <v>63</v>
      </c>
      <c r="S331" t="s">
        <v>63</v>
      </c>
      <c r="T331" t="s">
        <v>63</v>
      </c>
      <c r="U331" t="s">
        <v>63</v>
      </c>
      <c r="W331" t="s">
        <v>63</v>
      </c>
      <c r="X331" t="s">
        <v>63</v>
      </c>
      <c r="Y331" t="s">
        <v>63</v>
      </c>
      <c r="Z331" t="s">
        <v>63</v>
      </c>
      <c r="AB331" t="s">
        <v>63</v>
      </c>
      <c r="AC331" t="s">
        <v>63</v>
      </c>
      <c r="AD331" t="s">
        <v>63</v>
      </c>
      <c r="AE331">
        <v>100.5</v>
      </c>
      <c r="AF331">
        <v>10</v>
      </c>
      <c r="AG331">
        <v>65.83</v>
      </c>
      <c r="AH331">
        <v>65.83</v>
      </c>
      <c r="AI331">
        <v>65.83</v>
      </c>
      <c r="AJ331">
        <v>65.83</v>
      </c>
      <c r="AT331">
        <v>55.83</v>
      </c>
      <c r="AU331">
        <v>0</v>
      </c>
      <c r="AV331">
        <v>55.83</v>
      </c>
      <c r="AY331">
        <v>0</v>
      </c>
      <c r="AZ331">
        <v>0</v>
      </c>
      <c r="BA331">
        <v>65.83</v>
      </c>
      <c r="BB331">
        <v>59.17</v>
      </c>
      <c r="BC331">
        <v>19.75</v>
      </c>
      <c r="BD331">
        <v>53.25</v>
      </c>
      <c r="BE331">
        <f t="shared" si="11"/>
        <v>100.5</v>
      </c>
      <c r="BF331">
        <f t="shared" si="12"/>
        <v>63.25</v>
      </c>
      <c r="BG331" t="s">
        <v>759</v>
      </c>
    </row>
    <row r="332" spans="1:59" x14ac:dyDescent="0.3">
      <c r="A332" t="s">
        <v>640</v>
      </c>
      <c r="B332">
        <v>130023</v>
      </c>
      <c r="C332">
        <v>24360298</v>
      </c>
      <c r="D332" t="s">
        <v>641</v>
      </c>
      <c r="E332" t="s">
        <v>61</v>
      </c>
      <c r="F332" t="s">
        <v>72</v>
      </c>
      <c r="G332">
        <v>5.75</v>
      </c>
      <c r="H332">
        <v>10</v>
      </c>
      <c r="I332">
        <v>6.5</v>
      </c>
      <c r="J332" t="s">
        <v>63</v>
      </c>
      <c r="K332" t="s">
        <v>63</v>
      </c>
      <c r="M332" t="s">
        <v>63</v>
      </c>
      <c r="N332" t="s">
        <v>63</v>
      </c>
      <c r="O332" t="s">
        <v>63</v>
      </c>
      <c r="P332" t="s">
        <v>63</v>
      </c>
      <c r="R332" t="s">
        <v>63</v>
      </c>
      <c r="S332" t="s">
        <v>63</v>
      </c>
      <c r="T332" t="s">
        <v>63</v>
      </c>
      <c r="U332" t="s">
        <v>63</v>
      </c>
      <c r="W332" t="s">
        <v>63</v>
      </c>
      <c r="X332" t="s">
        <v>63</v>
      </c>
      <c r="Y332" t="s">
        <v>63</v>
      </c>
      <c r="Z332" t="s">
        <v>63</v>
      </c>
      <c r="AB332" t="s">
        <v>63</v>
      </c>
      <c r="AC332" t="s">
        <v>63</v>
      </c>
      <c r="AD332" t="s">
        <v>63</v>
      </c>
      <c r="AE332">
        <v>92</v>
      </c>
      <c r="AF332">
        <v>10</v>
      </c>
      <c r="AG332">
        <v>74.17</v>
      </c>
      <c r="AH332">
        <v>74.17</v>
      </c>
      <c r="AI332">
        <v>74.17</v>
      </c>
      <c r="AJ332">
        <v>74.17</v>
      </c>
      <c r="AT332">
        <v>51.11</v>
      </c>
      <c r="AU332">
        <v>0</v>
      </c>
      <c r="AV332">
        <v>51.11</v>
      </c>
      <c r="AY332">
        <v>0</v>
      </c>
      <c r="AZ332">
        <v>0</v>
      </c>
      <c r="BA332">
        <v>74.17</v>
      </c>
      <c r="BB332">
        <v>58.8</v>
      </c>
      <c r="BC332">
        <v>22.25</v>
      </c>
      <c r="BD332">
        <v>52.92</v>
      </c>
      <c r="BE332">
        <f t="shared" si="11"/>
        <v>92</v>
      </c>
      <c r="BF332">
        <f t="shared" si="12"/>
        <v>62.916666666666671</v>
      </c>
      <c r="BG332" t="s">
        <v>759</v>
      </c>
    </row>
    <row r="333" spans="1:59" x14ac:dyDescent="0.3">
      <c r="A333" t="s">
        <v>734</v>
      </c>
      <c r="B333">
        <v>127278</v>
      </c>
      <c r="C333">
        <v>24330038</v>
      </c>
      <c r="D333" t="s">
        <v>735</v>
      </c>
      <c r="E333" t="s">
        <v>61</v>
      </c>
      <c r="F333" t="s">
        <v>77</v>
      </c>
      <c r="G333">
        <v>7</v>
      </c>
      <c r="H333">
        <v>10</v>
      </c>
      <c r="I333">
        <v>10</v>
      </c>
      <c r="J333" t="s">
        <v>63</v>
      </c>
      <c r="K333" t="s">
        <v>63</v>
      </c>
      <c r="L333" t="s">
        <v>63</v>
      </c>
      <c r="N333" t="s">
        <v>63</v>
      </c>
      <c r="O333" t="s">
        <v>63</v>
      </c>
      <c r="P333" t="s">
        <v>63</v>
      </c>
      <c r="Q333" t="s">
        <v>63</v>
      </c>
      <c r="S333" t="s">
        <v>63</v>
      </c>
      <c r="T333" t="s">
        <v>63</v>
      </c>
      <c r="U333" t="s">
        <v>63</v>
      </c>
      <c r="V333" t="s">
        <v>63</v>
      </c>
      <c r="X333" t="s">
        <v>63</v>
      </c>
      <c r="Y333" t="s">
        <v>63</v>
      </c>
      <c r="Z333" t="s">
        <v>63</v>
      </c>
      <c r="AA333" t="s">
        <v>63</v>
      </c>
      <c r="AC333" t="s">
        <v>63</v>
      </c>
      <c r="AD333" t="s">
        <v>63</v>
      </c>
      <c r="AE333">
        <v>77</v>
      </c>
      <c r="AF333">
        <v>10</v>
      </c>
      <c r="AG333">
        <v>90</v>
      </c>
      <c r="AH333">
        <v>90</v>
      </c>
      <c r="AI333">
        <v>90</v>
      </c>
      <c r="AJ333">
        <v>90</v>
      </c>
      <c r="AT333">
        <v>42.78</v>
      </c>
      <c r="AU333">
        <v>0</v>
      </c>
      <c r="AV333">
        <v>42.78</v>
      </c>
      <c r="AY333">
        <v>0</v>
      </c>
      <c r="AZ333">
        <v>0</v>
      </c>
      <c r="BA333">
        <v>90</v>
      </c>
      <c r="BB333">
        <v>58.52</v>
      </c>
      <c r="BC333">
        <v>27</v>
      </c>
      <c r="BD333">
        <v>52.67</v>
      </c>
      <c r="BE333">
        <f t="shared" si="11"/>
        <v>77</v>
      </c>
      <c r="BF333">
        <f t="shared" si="12"/>
        <v>62.666666666666671</v>
      </c>
      <c r="BG333" t="s">
        <v>759</v>
      </c>
    </row>
    <row r="334" spans="1:59" x14ac:dyDescent="0.3">
      <c r="A334" t="s">
        <v>550</v>
      </c>
      <c r="B334">
        <v>128884</v>
      </c>
      <c r="C334">
        <v>24351101</v>
      </c>
      <c r="D334" t="s">
        <v>551</v>
      </c>
      <c r="E334" t="s">
        <v>61</v>
      </c>
      <c r="F334" t="s">
        <v>62</v>
      </c>
      <c r="G334">
        <v>5</v>
      </c>
      <c r="H334">
        <v>5.5</v>
      </c>
      <c r="I334">
        <v>6.5</v>
      </c>
      <c r="J334" t="s">
        <v>63</v>
      </c>
      <c r="K334" t="s">
        <v>63</v>
      </c>
      <c r="L334" t="s">
        <v>63</v>
      </c>
      <c r="M334" t="s">
        <v>63</v>
      </c>
      <c r="O334" t="s">
        <v>63</v>
      </c>
      <c r="P334" t="s">
        <v>63</v>
      </c>
      <c r="Q334" t="s">
        <v>63</v>
      </c>
      <c r="R334" t="s">
        <v>63</v>
      </c>
      <c r="T334" t="s">
        <v>63</v>
      </c>
      <c r="U334" t="s">
        <v>63</v>
      </c>
      <c r="V334" t="s">
        <v>63</v>
      </c>
      <c r="W334" t="s">
        <v>63</v>
      </c>
      <c r="Y334" t="s">
        <v>63</v>
      </c>
      <c r="Z334" t="s">
        <v>63</v>
      </c>
      <c r="AA334" t="s">
        <v>63</v>
      </c>
      <c r="AB334" t="s">
        <v>63</v>
      </c>
      <c r="AD334" t="s">
        <v>63</v>
      </c>
      <c r="AE334">
        <v>105.5</v>
      </c>
      <c r="AF334">
        <v>10</v>
      </c>
      <c r="AG334">
        <v>56.67</v>
      </c>
      <c r="AH334">
        <v>56.67</v>
      </c>
      <c r="AI334">
        <v>56.67</v>
      </c>
      <c r="AJ334">
        <v>56.67</v>
      </c>
      <c r="AT334">
        <v>58.61</v>
      </c>
      <c r="AU334">
        <v>0</v>
      </c>
      <c r="AV334">
        <v>58.61</v>
      </c>
      <c r="AY334">
        <v>0</v>
      </c>
      <c r="AZ334">
        <v>0</v>
      </c>
      <c r="BA334">
        <v>56.67</v>
      </c>
      <c r="BB334">
        <v>57.96</v>
      </c>
      <c r="BC334">
        <v>17</v>
      </c>
      <c r="BD334">
        <v>52.17</v>
      </c>
      <c r="BE334">
        <f t="shared" si="11"/>
        <v>105.5</v>
      </c>
      <c r="BF334">
        <f t="shared" si="12"/>
        <v>62.166666666666664</v>
      </c>
      <c r="BG334" t="s">
        <v>759</v>
      </c>
    </row>
    <row r="335" spans="1:59" x14ac:dyDescent="0.3">
      <c r="A335" t="s">
        <v>280</v>
      </c>
      <c r="B335">
        <v>131349</v>
      </c>
      <c r="C335">
        <v>24361811</v>
      </c>
      <c r="D335" t="s">
        <v>281</v>
      </c>
      <c r="E335" t="s">
        <v>61</v>
      </c>
      <c r="F335" t="s">
        <v>66</v>
      </c>
      <c r="G335">
        <v>8</v>
      </c>
      <c r="H335">
        <v>0</v>
      </c>
      <c r="I335">
        <v>9.5</v>
      </c>
      <c r="K335" t="s">
        <v>63</v>
      </c>
      <c r="L335" t="s">
        <v>63</v>
      </c>
      <c r="M335" t="s">
        <v>63</v>
      </c>
      <c r="N335" t="s">
        <v>63</v>
      </c>
      <c r="P335" t="s">
        <v>63</v>
      </c>
      <c r="Q335" t="s">
        <v>63</v>
      </c>
      <c r="R335" t="s">
        <v>63</v>
      </c>
      <c r="S335" t="s">
        <v>63</v>
      </c>
      <c r="U335" t="s">
        <v>63</v>
      </c>
      <c r="V335" t="s">
        <v>63</v>
      </c>
      <c r="W335" t="s">
        <v>63</v>
      </c>
      <c r="X335" t="s">
        <v>63</v>
      </c>
      <c r="Z335" t="s">
        <v>63</v>
      </c>
      <c r="AA335" t="s">
        <v>63</v>
      </c>
      <c r="AB335" t="s">
        <v>63</v>
      </c>
      <c r="AC335" t="s">
        <v>63</v>
      </c>
      <c r="AD335" t="s">
        <v>63</v>
      </c>
      <c r="AE335">
        <v>103.5</v>
      </c>
      <c r="AF335">
        <v>10</v>
      </c>
      <c r="AG335">
        <v>58.33</v>
      </c>
      <c r="AH335">
        <v>58.33</v>
      </c>
      <c r="AI335">
        <v>58.33</v>
      </c>
      <c r="AJ335">
        <v>58.33</v>
      </c>
      <c r="AT335">
        <v>57.5</v>
      </c>
      <c r="AU335">
        <v>0</v>
      </c>
      <c r="AV335">
        <v>57.5</v>
      </c>
      <c r="AY335">
        <v>0</v>
      </c>
      <c r="AZ335">
        <v>0</v>
      </c>
      <c r="BA335">
        <v>58.33</v>
      </c>
      <c r="BB335">
        <v>57.78</v>
      </c>
      <c r="BC335">
        <v>17.5</v>
      </c>
      <c r="BD335">
        <v>52</v>
      </c>
      <c r="BE335">
        <f t="shared" si="11"/>
        <v>103.5</v>
      </c>
      <c r="BF335">
        <f t="shared" si="12"/>
        <v>62</v>
      </c>
      <c r="BG335" t="s">
        <v>759</v>
      </c>
    </row>
    <row r="336" spans="1:59" x14ac:dyDescent="0.3">
      <c r="A336" t="s">
        <v>210</v>
      </c>
      <c r="B336">
        <v>128561</v>
      </c>
      <c r="C336">
        <v>24347837</v>
      </c>
      <c r="D336" t="s">
        <v>211</v>
      </c>
      <c r="E336" t="s">
        <v>61</v>
      </c>
      <c r="F336" t="s">
        <v>77</v>
      </c>
      <c r="G336">
        <v>6</v>
      </c>
      <c r="H336">
        <v>8.5</v>
      </c>
      <c r="I336">
        <v>7</v>
      </c>
      <c r="J336" t="s">
        <v>63</v>
      </c>
      <c r="K336" t="s">
        <v>63</v>
      </c>
      <c r="L336" t="s">
        <v>63</v>
      </c>
      <c r="N336" t="s">
        <v>63</v>
      </c>
      <c r="O336" t="s">
        <v>63</v>
      </c>
      <c r="P336" t="s">
        <v>63</v>
      </c>
      <c r="Q336" t="s">
        <v>63</v>
      </c>
      <c r="S336" t="s">
        <v>63</v>
      </c>
      <c r="T336" t="s">
        <v>63</v>
      </c>
      <c r="U336" t="s">
        <v>63</v>
      </c>
      <c r="V336" t="s">
        <v>63</v>
      </c>
      <c r="X336" t="s">
        <v>63</v>
      </c>
      <c r="Y336" t="s">
        <v>63</v>
      </c>
      <c r="Z336" t="s">
        <v>63</v>
      </c>
      <c r="AA336" t="s">
        <v>63</v>
      </c>
      <c r="AC336" t="s">
        <v>63</v>
      </c>
      <c r="AD336" t="s">
        <v>63</v>
      </c>
      <c r="AE336">
        <v>89.5</v>
      </c>
      <c r="AF336">
        <v>10</v>
      </c>
      <c r="AG336">
        <v>71.67</v>
      </c>
      <c r="AH336">
        <v>71.67</v>
      </c>
      <c r="AI336">
        <v>71.67</v>
      </c>
      <c r="AJ336">
        <v>71.67</v>
      </c>
      <c r="AT336">
        <v>49.72</v>
      </c>
      <c r="AU336">
        <v>0</v>
      </c>
      <c r="AV336">
        <v>49.72</v>
      </c>
      <c r="AY336">
        <v>0</v>
      </c>
      <c r="AZ336">
        <v>0</v>
      </c>
      <c r="BA336">
        <v>71.67</v>
      </c>
      <c r="BB336">
        <v>57.04</v>
      </c>
      <c r="BC336">
        <v>21.5</v>
      </c>
      <c r="BD336">
        <v>51.33</v>
      </c>
      <c r="BE336">
        <f t="shared" si="11"/>
        <v>89.5</v>
      </c>
      <c r="BF336">
        <f t="shared" si="12"/>
        <v>61.333333333333329</v>
      </c>
      <c r="BG336" t="s">
        <v>759</v>
      </c>
    </row>
    <row r="337" spans="1:59" x14ac:dyDescent="0.3">
      <c r="A337" t="s">
        <v>102</v>
      </c>
      <c r="B337">
        <v>123080</v>
      </c>
      <c r="C337">
        <v>24275162</v>
      </c>
      <c r="D337" t="s">
        <v>103</v>
      </c>
      <c r="E337" t="s">
        <v>61</v>
      </c>
      <c r="F337" t="s">
        <v>62</v>
      </c>
      <c r="G337">
        <v>6</v>
      </c>
      <c r="H337">
        <v>3</v>
      </c>
      <c r="I337">
        <v>8</v>
      </c>
      <c r="J337" t="s">
        <v>63</v>
      </c>
      <c r="K337" t="s">
        <v>63</v>
      </c>
      <c r="L337" t="s">
        <v>63</v>
      </c>
      <c r="M337" t="s">
        <v>63</v>
      </c>
      <c r="O337" t="s">
        <v>63</v>
      </c>
      <c r="P337" t="s">
        <v>63</v>
      </c>
      <c r="Q337" t="s">
        <v>63</v>
      </c>
      <c r="R337" t="s">
        <v>63</v>
      </c>
      <c r="T337" t="s">
        <v>63</v>
      </c>
      <c r="U337" t="s">
        <v>63</v>
      </c>
      <c r="V337" t="s">
        <v>63</v>
      </c>
      <c r="W337" t="s">
        <v>63</v>
      </c>
      <c r="Y337" t="s">
        <v>63</v>
      </c>
      <c r="Z337" t="s">
        <v>63</v>
      </c>
      <c r="AA337" t="s">
        <v>63</v>
      </c>
      <c r="AB337" t="s">
        <v>63</v>
      </c>
      <c r="AD337" t="s">
        <v>63</v>
      </c>
      <c r="AE337">
        <v>100.5</v>
      </c>
      <c r="AF337">
        <v>10</v>
      </c>
      <c r="AG337">
        <v>56.67</v>
      </c>
      <c r="AH337">
        <v>56.67</v>
      </c>
      <c r="AI337">
        <v>56.67</v>
      </c>
      <c r="AJ337">
        <v>56.67</v>
      </c>
      <c r="AT337">
        <v>55.83</v>
      </c>
      <c r="AU337">
        <v>0</v>
      </c>
      <c r="AV337">
        <v>55.83</v>
      </c>
      <c r="AY337">
        <v>0</v>
      </c>
      <c r="AZ337">
        <v>0</v>
      </c>
      <c r="BA337">
        <v>56.67</v>
      </c>
      <c r="BB337">
        <v>56.11</v>
      </c>
      <c r="BC337">
        <v>17</v>
      </c>
      <c r="BD337">
        <v>50.5</v>
      </c>
      <c r="BE337">
        <f t="shared" si="11"/>
        <v>100.5</v>
      </c>
      <c r="BF337">
        <f t="shared" si="12"/>
        <v>60.5</v>
      </c>
      <c r="BG337" t="s">
        <v>759</v>
      </c>
    </row>
    <row r="338" spans="1:59" x14ac:dyDescent="0.3">
      <c r="A338" t="s">
        <v>88</v>
      </c>
      <c r="B338">
        <v>128993</v>
      </c>
      <c r="C338">
        <v>24352461</v>
      </c>
      <c r="D338" t="s">
        <v>89</v>
      </c>
      <c r="E338" t="s">
        <v>61</v>
      </c>
      <c r="F338" t="s">
        <v>72</v>
      </c>
      <c r="G338">
        <v>5</v>
      </c>
      <c r="H338">
        <v>3.75</v>
      </c>
      <c r="I338">
        <v>10</v>
      </c>
      <c r="J338" t="s">
        <v>63</v>
      </c>
      <c r="K338" t="s">
        <v>63</v>
      </c>
      <c r="M338" t="s">
        <v>63</v>
      </c>
      <c r="N338" t="s">
        <v>63</v>
      </c>
      <c r="O338" t="s">
        <v>63</v>
      </c>
      <c r="P338" t="s">
        <v>63</v>
      </c>
      <c r="R338" t="s">
        <v>63</v>
      </c>
      <c r="S338" t="s">
        <v>63</v>
      </c>
      <c r="T338" t="s">
        <v>63</v>
      </c>
      <c r="U338" t="s">
        <v>63</v>
      </c>
      <c r="W338" t="s">
        <v>63</v>
      </c>
      <c r="X338" t="s">
        <v>63</v>
      </c>
      <c r="Y338" t="s">
        <v>63</v>
      </c>
      <c r="Z338" t="s">
        <v>63</v>
      </c>
      <c r="AB338" t="s">
        <v>63</v>
      </c>
      <c r="AC338" t="s">
        <v>63</v>
      </c>
      <c r="AD338" t="s">
        <v>63</v>
      </c>
      <c r="AE338">
        <v>94.5</v>
      </c>
      <c r="AF338">
        <v>10</v>
      </c>
      <c r="AG338">
        <v>62.5</v>
      </c>
      <c r="AH338">
        <v>62.5</v>
      </c>
      <c r="AI338">
        <v>62.5</v>
      </c>
      <c r="AJ338">
        <v>62.5</v>
      </c>
      <c r="AT338">
        <v>52.5</v>
      </c>
      <c r="AU338">
        <v>0</v>
      </c>
      <c r="AV338">
        <v>52.5</v>
      </c>
      <c r="AY338">
        <v>0</v>
      </c>
      <c r="AZ338">
        <v>0</v>
      </c>
      <c r="BA338">
        <v>62.5</v>
      </c>
      <c r="BB338">
        <v>55.83</v>
      </c>
      <c r="BC338">
        <v>18.75</v>
      </c>
      <c r="BD338">
        <v>50.25</v>
      </c>
      <c r="BE338">
        <f t="shared" si="11"/>
        <v>94.5</v>
      </c>
      <c r="BF338">
        <f t="shared" si="12"/>
        <v>60.25</v>
      </c>
      <c r="BG338" t="s">
        <v>759</v>
      </c>
    </row>
    <row r="339" spans="1:59" x14ac:dyDescent="0.3">
      <c r="A339" t="s">
        <v>706</v>
      </c>
      <c r="B339">
        <v>126814</v>
      </c>
      <c r="C339">
        <v>24321623</v>
      </c>
      <c r="D339" t="s">
        <v>707</v>
      </c>
      <c r="E339" t="s">
        <v>61</v>
      </c>
      <c r="F339" t="s">
        <v>69</v>
      </c>
      <c r="G339">
        <v>8</v>
      </c>
      <c r="H339">
        <v>10</v>
      </c>
      <c r="I339">
        <v>0.75</v>
      </c>
      <c r="J339" t="s">
        <v>63</v>
      </c>
      <c r="L339" t="s">
        <v>63</v>
      </c>
      <c r="M339" t="s">
        <v>63</v>
      </c>
      <c r="N339" t="s">
        <v>63</v>
      </c>
      <c r="O339" t="s">
        <v>63</v>
      </c>
      <c r="Q339" t="s">
        <v>63</v>
      </c>
      <c r="R339" t="s">
        <v>63</v>
      </c>
      <c r="S339" t="s">
        <v>63</v>
      </c>
      <c r="T339" t="s">
        <v>63</v>
      </c>
      <c r="V339" t="s">
        <v>63</v>
      </c>
      <c r="W339" t="s">
        <v>63</v>
      </c>
      <c r="X339" t="s">
        <v>63</v>
      </c>
      <c r="Y339" t="s">
        <v>63</v>
      </c>
      <c r="AA339" t="s">
        <v>63</v>
      </c>
      <c r="AB339" t="s">
        <v>63</v>
      </c>
      <c r="AC339" t="s">
        <v>63</v>
      </c>
      <c r="AD339" t="s">
        <v>63</v>
      </c>
      <c r="AE339">
        <v>94.5</v>
      </c>
      <c r="AF339">
        <v>10</v>
      </c>
      <c r="AG339">
        <v>62.5</v>
      </c>
      <c r="AH339">
        <v>62.5</v>
      </c>
      <c r="AI339">
        <v>62.5</v>
      </c>
      <c r="AJ339">
        <v>62.5</v>
      </c>
      <c r="AT339">
        <v>52.5</v>
      </c>
      <c r="AU339">
        <v>0</v>
      </c>
      <c r="AV339">
        <v>52.5</v>
      </c>
      <c r="AY339">
        <v>0</v>
      </c>
      <c r="AZ339">
        <v>0</v>
      </c>
      <c r="BA339">
        <v>62.5</v>
      </c>
      <c r="BB339">
        <v>55.83</v>
      </c>
      <c r="BC339">
        <v>18.75</v>
      </c>
      <c r="BD339">
        <v>50.25</v>
      </c>
      <c r="BE339">
        <f t="shared" si="11"/>
        <v>94.5</v>
      </c>
      <c r="BF339">
        <f t="shared" si="12"/>
        <v>60.25</v>
      </c>
      <c r="BG339" t="s">
        <v>759</v>
      </c>
    </row>
    <row r="340" spans="1:59" x14ac:dyDescent="0.3">
      <c r="A340" t="s">
        <v>524</v>
      </c>
      <c r="B340">
        <v>129828</v>
      </c>
      <c r="C340">
        <v>13485051</v>
      </c>
      <c r="D340" t="s">
        <v>525</v>
      </c>
      <c r="E340" t="s">
        <v>61</v>
      </c>
      <c r="F340" t="s">
        <v>72</v>
      </c>
      <c r="G340">
        <v>6</v>
      </c>
      <c r="H340">
        <v>3.25</v>
      </c>
      <c r="I340">
        <v>3.5</v>
      </c>
      <c r="J340" t="s">
        <v>63</v>
      </c>
      <c r="K340" t="s">
        <v>63</v>
      </c>
      <c r="M340" t="s">
        <v>63</v>
      </c>
      <c r="N340" t="s">
        <v>63</v>
      </c>
      <c r="O340" t="s">
        <v>63</v>
      </c>
      <c r="P340" t="s">
        <v>63</v>
      </c>
      <c r="R340" t="s">
        <v>63</v>
      </c>
      <c r="S340" t="s">
        <v>63</v>
      </c>
      <c r="T340" t="s">
        <v>63</v>
      </c>
      <c r="U340" t="s">
        <v>63</v>
      </c>
      <c r="W340" t="s">
        <v>63</v>
      </c>
      <c r="X340" t="s">
        <v>63</v>
      </c>
      <c r="Y340" t="s">
        <v>63</v>
      </c>
      <c r="Z340" t="s">
        <v>63</v>
      </c>
      <c r="AB340" t="s">
        <v>63</v>
      </c>
      <c r="AC340" t="s">
        <v>63</v>
      </c>
      <c r="AD340" t="s">
        <v>63</v>
      </c>
      <c r="AE340">
        <v>112</v>
      </c>
      <c r="AF340">
        <v>10</v>
      </c>
      <c r="AG340">
        <v>42.5</v>
      </c>
      <c r="AH340">
        <v>42.5</v>
      </c>
      <c r="AI340">
        <v>42.5</v>
      </c>
      <c r="AJ340">
        <v>42.5</v>
      </c>
      <c r="AT340">
        <v>62.22</v>
      </c>
      <c r="AU340">
        <v>0</v>
      </c>
      <c r="AV340">
        <v>62.22</v>
      </c>
      <c r="AY340">
        <v>0</v>
      </c>
      <c r="AZ340">
        <v>0</v>
      </c>
      <c r="BA340">
        <v>42.5</v>
      </c>
      <c r="BB340">
        <v>55.65</v>
      </c>
      <c r="BC340">
        <v>12.75</v>
      </c>
      <c r="BD340">
        <v>50.08</v>
      </c>
      <c r="BE340">
        <f t="shared" si="11"/>
        <v>112</v>
      </c>
      <c r="BF340">
        <f t="shared" si="12"/>
        <v>60.083333333333336</v>
      </c>
      <c r="BG340" t="s">
        <v>759</v>
      </c>
    </row>
    <row r="341" spans="1:59" x14ac:dyDescent="0.3">
      <c r="A341" t="s">
        <v>422</v>
      </c>
      <c r="B341">
        <v>133030</v>
      </c>
      <c r="C341">
        <v>24377349</v>
      </c>
      <c r="D341" t="s">
        <v>423</v>
      </c>
      <c r="E341" t="s">
        <v>61</v>
      </c>
      <c r="F341" t="s">
        <v>66</v>
      </c>
      <c r="G341">
        <v>7</v>
      </c>
      <c r="H341">
        <v>0</v>
      </c>
      <c r="I341">
        <v>0</v>
      </c>
      <c r="K341" t="s">
        <v>63</v>
      </c>
      <c r="L341" t="s">
        <v>63</v>
      </c>
      <c r="M341" t="s">
        <v>63</v>
      </c>
      <c r="N341" t="s">
        <v>63</v>
      </c>
      <c r="P341" t="s">
        <v>63</v>
      </c>
      <c r="Q341" t="s">
        <v>63</v>
      </c>
      <c r="R341" t="s">
        <v>63</v>
      </c>
      <c r="S341" t="s">
        <v>63</v>
      </c>
      <c r="U341" t="s">
        <v>63</v>
      </c>
      <c r="V341" t="s">
        <v>63</v>
      </c>
      <c r="W341" t="s">
        <v>63</v>
      </c>
      <c r="X341" t="s">
        <v>63</v>
      </c>
      <c r="Z341" t="s">
        <v>63</v>
      </c>
      <c r="AA341" t="s">
        <v>63</v>
      </c>
      <c r="AB341" t="s">
        <v>63</v>
      </c>
      <c r="AC341" t="s">
        <v>63</v>
      </c>
      <c r="AD341" t="s">
        <v>63</v>
      </c>
      <c r="AE341">
        <v>126.5</v>
      </c>
      <c r="AF341">
        <v>10</v>
      </c>
      <c r="AG341">
        <v>23.33</v>
      </c>
      <c r="AH341">
        <v>23.33</v>
      </c>
      <c r="AI341">
        <v>23.33</v>
      </c>
      <c r="AJ341">
        <v>23.33</v>
      </c>
      <c r="AT341">
        <v>70.28</v>
      </c>
      <c r="AU341">
        <v>0</v>
      </c>
      <c r="AV341">
        <v>70.28</v>
      </c>
      <c r="AY341">
        <v>0</v>
      </c>
      <c r="AZ341">
        <v>0</v>
      </c>
      <c r="BA341">
        <v>23.33</v>
      </c>
      <c r="BB341">
        <v>54.63</v>
      </c>
      <c r="BC341">
        <v>7</v>
      </c>
      <c r="BD341">
        <v>49.17</v>
      </c>
      <c r="BE341">
        <f t="shared" si="11"/>
        <v>126.5</v>
      </c>
      <c r="BF341">
        <f t="shared" si="12"/>
        <v>59.166666666666664</v>
      </c>
      <c r="BG341" t="s">
        <v>759</v>
      </c>
    </row>
    <row r="342" spans="1:59" x14ac:dyDescent="0.3">
      <c r="A342" t="s">
        <v>450</v>
      </c>
      <c r="B342">
        <v>126740</v>
      </c>
      <c r="C342">
        <v>24322116</v>
      </c>
      <c r="D342" t="s">
        <v>451</v>
      </c>
      <c r="E342" t="s">
        <v>61</v>
      </c>
      <c r="F342" t="s">
        <v>62</v>
      </c>
      <c r="G342">
        <v>7.5</v>
      </c>
      <c r="H342">
        <v>10</v>
      </c>
      <c r="I342">
        <v>7.75</v>
      </c>
      <c r="J342" t="s">
        <v>63</v>
      </c>
      <c r="K342" t="s">
        <v>63</v>
      </c>
      <c r="L342" t="s">
        <v>63</v>
      </c>
      <c r="M342" t="s">
        <v>63</v>
      </c>
      <c r="O342" t="s">
        <v>63</v>
      </c>
      <c r="P342" t="s">
        <v>63</v>
      </c>
      <c r="Q342" t="s">
        <v>63</v>
      </c>
      <c r="R342" t="s">
        <v>63</v>
      </c>
      <c r="T342" t="s">
        <v>63</v>
      </c>
      <c r="U342" t="s">
        <v>63</v>
      </c>
      <c r="V342" t="s">
        <v>63</v>
      </c>
      <c r="W342" t="s">
        <v>63</v>
      </c>
      <c r="Y342" t="s">
        <v>63</v>
      </c>
      <c r="Z342" t="s">
        <v>63</v>
      </c>
      <c r="AA342" t="s">
        <v>63</v>
      </c>
      <c r="AB342" t="s">
        <v>63</v>
      </c>
      <c r="AD342" t="s">
        <v>63</v>
      </c>
      <c r="AE342">
        <v>64</v>
      </c>
      <c r="AF342">
        <v>10</v>
      </c>
      <c r="AG342">
        <v>84.17</v>
      </c>
      <c r="AH342">
        <v>84.17</v>
      </c>
      <c r="AI342">
        <v>84.17</v>
      </c>
      <c r="AJ342">
        <v>84.17</v>
      </c>
      <c r="AT342">
        <v>35.56</v>
      </c>
      <c r="AU342">
        <v>0</v>
      </c>
      <c r="AV342">
        <v>35.56</v>
      </c>
      <c r="AY342">
        <v>0</v>
      </c>
      <c r="AZ342">
        <v>0</v>
      </c>
      <c r="BA342">
        <v>84.17</v>
      </c>
      <c r="BB342">
        <v>51.76</v>
      </c>
      <c r="BC342">
        <v>25.25</v>
      </c>
      <c r="BD342">
        <v>46.58</v>
      </c>
      <c r="BE342">
        <f t="shared" si="11"/>
        <v>64</v>
      </c>
      <c r="BF342">
        <f t="shared" si="12"/>
        <v>56.583333333333329</v>
      </c>
      <c r="BG342" t="s">
        <v>759</v>
      </c>
    </row>
    <row r="343" spans="1:59" x14ac:dyDescent="0.3">
      <c r="A343" t="s">
        <v>194</v>
      </c>
      <c r="B343">
        <v>123314</v>
      </c>
      <c r="C343">
        <v>24274958</v>
      </c>
      <c r="D343" t="s">
        <v>195</v>
      </c>
      <c r="E343" t="s">
        <v>61</v>
      </c>
      <c r="F343" t="s">
        <v>62</v>
      </c>
      <c r="G343">
        <v>6.5</v>
      </c>
      <c r="H343">
        <v>6.5</v>
      </c>
      <c r="I343">
        <v>6.5</v>
      </c>
      <c r="J343" t="s">
        <v>63</v>
      </c>
      <c r="K343" t="s">
        <v>63</v>
      </c>
      <c r="L343" t="s">
        <v>63</v>
      </c>
      <c r="M343" t="s">
        <v>63</v>
      </c>
      <c r="O343" t="s">
        <v>63</v>
      </c>
      <c r="P343" t="s">
        <v>63</v>
      </c>
      <c r="Q343" t="s">
        <v>63</v>
      </c>
      <c r="R343" t="s">
        <v>63</v>
      </c>
      <c r="T343" t="s">
        <v>63</v>
      </c>
      <c r="U343" t="s">
        <v>63</v>
      </c>
      <c r="V343" t="s">
        <v>63</v>
      </c>
      <c r="W343" t="s">
        <v>63</v>
      </c>
      <c r="Y343" t="s">
        <v>63</v>
      </c>
      <c r="Z343" t="s">
        <v>63</v>
      </c>
      <c r="AA343" t="s">
        <v>63</v>
      </c>
      <c r="AB343" t="s">
        <v>63</v>
      </c>
      <c r="AD343" t="s">
        <v>63</v>
      </c>
      <c r="AE343">
        <v>71.5</v>
      </c>
      <c r="AF343">
        <v>10</v>
      </c>
      <c r="AG343">
        <v>65</v>
      </c>
      <c r="AH343">
        <v>65</v>
      </c>
      <c r="AI343">
        <v>65</v>
      </c>
      <c r="AJ343">
        <v>65</v>
      </c>
      <c r="AT343">
        <v>39.72</v>
      </c>
      <c r="AU343">
        <v>0</v>
      </c>
      <c r="AV343">
        <v>39.72</v>
      </c>
      <c r="AY343">
        <v>0</v>
      </c>
      <c r="AZ343">
        <v>0</v>
      </c>
      <c r="BA343">
        <v>65</v>
      </c>
      <c r="BB343">
        <v>48.15</v>
      </c>
      <c r="BC343">
        <v>19.5</v>
      </c>
      <c r="BD343">
        <v>43.33</v>
      </c>
      <c r="BE343">
        <f t="shared" si="11"/>
        <v>71.5</v>
      </c>
      <c r="BF343">
        <f t="shared" si="12"/>
        <v>53.333333333333329</v>
      </c>
      <c r="BG343" t="s">
        <v>759</v>
      </c>
    </row>
    <row r="344" spans="1:59" x14ac:dyDescent="0.3">
      <c r="A344" t="s">
        <v>114</v>
      </c>
      <c r="B344">
        <v>135101</v>
      </c>
      <c r="C344">
        <v>13391109</v>
      </c>
      <c r="D344" t="s">
        <v>115</v>
      </c>
      <c r="E344" t="s">
        <v>61</v>
      </c>
      <c r="F344" t="s">
        <v>69</v>
      </c>
      <c r="G344">
        <v>5.5</v>
      </c>
      <c r="H344">
        <v>4.25</v>
      </c>
      <c r="I344">
        <v>5</v>
      </c>
      <c r="J344" t="s">
        <v>63</v>
      </c>
      <c r="L344" t="s">
        <v>63</v>
      </c>
      <c r="M344" t="s">
        <v>63</v>
      </c>
      <c r="N344" t="s">
        <v>63</v>
      </c>
      <c r="O344" t="s">
        <v>63</v>
      </c>
      <c r="Q344" t="s">
        <v>63</v>
      </c>
      <c r="R344" t="s">
        <v>63</v>
      </c>
      <c r="S344" t="s">
        <v>63</v>
      </c>
      <c r="T344" t="s">
        <v>63</v>
      </c>
      <c r="V344" t="s">
        <v>63</v>
      </c>
      <c r="W344" t="s">
        <v>63</v>
      </c>
      <c r="X344" t="s">
        <v>63</v>
      </c>
      <c r="Y344" t="s">
        <v>63</v>
      </c>
      <c r="AA344" t="s">
        <v>63</v>
      </c>
      <c r="AB344" t="s">
        <v>63</v>
      </c>
      <c r="AC344" t="s">
        <v>63</v>
      </c>
      <c r="AD344" t="s">
        <v>63</v>
      </c>
      <c r="AE344">
        <v>64</v>
      </c>
      <c r="AF344">
        <v>10</v>
      </c>
      <c r="AG344">
        <v>49.17</v>
      </c>
      <c r="AH344">
        <v>49.17</v>
      </c>
      <c r="AI344">
        <v>49.17</v>
      </c>
      <c r="AJ344">
        <v>49.17</v>
      </c>
      <c r="AT344">
        <v>35.56</v>
      </c>
      <c r="AU344">
        <v>0</v>
      </c>
      <c r="AV344">
        <v>35.56</v>
      </c>
      <c r="AY344">
        <v>0</v>
      </c>
      <c r="AZ344">
        <v>0</v>
      </c>
      <c r="BA344">
        <v>49.17</v>
      </c>
      <c r="BB344">
        <v>40.090000000000003</v>
      </c>
      <c r="BC344">
        <v>14.75</v>
      </c>
      <c r="BD344">
        <v>36.08</v>
      </c>
      <c r="BE344">
        <f t="shared" si="11"/>
        <v>64</v>
      </c>
      <c r="BF344">
        <f t="shared" si="12"/>
        <v>46.083333333333329</v>
      </c>
      <c r="BG344" t="s">
        <v>759</v>
      </c>
    </row>
    <row r="346" spans="1:59" x14ac:dyDescent="0.3">
      <c r="BE346">
        <f>AVERAGE(BE4:BE344)</f>
        <v>125.09824046920821</v>
      </c>
    </row>
  </sheetData>
  <sortState xmlns:xlrd2="http://schemas.microsoft.com/office/spreadsheetml/2017/richdata2" ref="A4:BF344">
    <sortCondition descending="1" ref="BF4:BF3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2020-10-21T1652_Grades-MGT_404_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Sinkinson</cp:lastModifiedBy>
  <dcterms:created xsi:type="dcterms:W3CDTF">2020-10-21T20:57:34Z</dcterms:created>
  <dcterms:modified xsi:type="dcterms:W3CDTF">2020-11-05T00:08:42Z</dcterms:modified>
</cp:coreProperties>
</file>