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3422\Dropbox\MGT_404_2019\exam\"/>
    </mc:Choice>
  </mc:AlternateContent>
  <bookViews>
    <workbookView xWindow="0" yWindow="0" windowWidth="23040" windowHeight="9876"/>
  </bookViews>
  <sheets>
    <sheet name="2019-10-16T1414_Grades-MGT_404_" sheetId="1" r:id="rId1"/>
    <sheet name="csv" sheetId="3" r:id="rId2"/>
    <sheet name="exam" sheetId="2" r:id="rId3"/>
  </sheets>
  <calcPr calcId="162913"/>
</workbook>
</file>

<file path=xl/calcChain.xml><?xml version="1.0" encoding="utf-8"?>
<calcChain xmlns="http://schemas.openxmlformats.org/spreadsheetml/2006/main">
  <c r="U365" i="2" l="1"/>
  <c r="T365" i="2"/>
  <c r="S365" i="2"/>
  <c r="R365" i="2"/>
  <c r="Q365" i="2"/>
  <c r="P365" i="2"/>
  <c r="O365" i="2"/>
  <c r="N365" i="2"/>
  <c r="M365" i="2"/>
  <c r="L365" i="2"/>
  <c r="K365" i="2"/>
  <c r="J365" i="2"/>
  <c r="I365" i="2"/>
  <c r="L95" i="1"/>
  <c r="M95" i="1" s="1"/>
  <c r="J4" i="1"/>
  <c r="L4" i="1" s="1"/>
  <c r="M4" i="1" s="1"/>
  <c r="N4" i="1" s="1"/>
  <c r="J296" i="1"/>
  <c r="L296" i="1" s="1"/>
  <c r="M296" i="1" s="1"/>
  <c r="J297" i="1"/>
  <c r="L297" i="1" s="1"/>
  <c r="M297" i="1" s="1"/>
  <c r="J298" i="1"/>
  <c r="L298" i="1" s="1"/>
  <c r="M298" i="1" s="1"/>
  <c r="J96" i="1"/>
  <c r="L96" i="1" s="1"/>
  <c r="M96" i="1" s="1"/>
  <c r="J5" i="1"/>
  <c r="L5" i="1" s="1"/>
  <c r="M5" i="1" s="1"/>
  <c r="J6" i="1"/>
  <c r="L6" i="1" s="1"/>
  <c r="M6" i="1" s="1"/>
  <c r="J230" i="1"/>
  <c r="L230" i="1" s="1"/>
  <c r="M230" i="1" s="1"/>
  <c r="J97" i="1"/>
  <c r="L97" i="1" s="1"/>
  <c r="M97" i="1" s="1"/>
  <c r="J7" i="1"/>
  <c r="L7" i="1" s="1"/>
  <c r="M7" i="1" s="1"/>
  <c r="J164" i="1"/>
  <c r="L164" i="1" s="1"/>
  <c r="M164" i="1" s="1"/>
  <c r="J231" i="1"/>
  <c r="L231" i="1" s="1"/>
  <c r="M231" i="1" s="1"/>
  <c r="J165" i="1"/>
  <c r="L165" i="1" s="1"/>
  <c r="M165" i="1" s="1"/>
  <c r="J8" i="1"/>
  <c r="L8" i="1" s="1"/>
  <c r="M8" i="1" s="1"/>
  <c r="J232" i="1"/>
  <c r="L232" i="1" s="1"/>
  <c r="M232" i="1" s="1"/>
  <c r="J166" i="1"/>
  <c r="L166" i="1" s="1"/>
  <c r="M166" i="1" s="1"/>
  <c r="J98" i="1"/>
  <c r="L98" i="1" s="1"/>
  <c r="M98" i="1" s="1"/>
  <c r="J233" i="1"/>
  <c r="L233" i="1" s="1"/>
  <c r="M233" i="1" s="1"/>
  <c r="J99" i="1"/>
  <c r="L99" i="1" s="1"/>
  <c r="M99" i="1" s="1"/>
  <c r="J299" i="1"/>
  <c r="L299" i="1" s="1"/>
  <c r="M299" i="1" s="1"/>
  <c r="J234" i="1"/>
  <c r="L234" i="1" s="1"/>
  <c r="M234" i="1" s="1"/>
  <c r="J300" i="1"/>
  <c r="L300" i="1" s="1"/>
  <c r="M300" i="1" s="1"/>
  <c r="J9" i="1"/>
  <c r="L9" i="1" s="1"/>
  <c r="M9" i="1" s="1"/>
  <c r="J167" i="1"/>
  <c r="L167" i="1" s="1"/>
  <c r="M167" i="1" s="1"/>
  <c r="J235" i="1"/>
  <c r="L235" i="1" s="1"/>
  <c r="M235" i="1" s="1"/>
  <c r="J10" i="1"/>
  <c r="L10" i="1" s="1"/>
  <c r="M10" i="1" s="1"/>
  <c r="J100" i="1"/>
  <c r="L100" i="1" s="1"/>
  <c r="M100" i="1" s="1"/>
  <c r="J11" i="1"/>
  <c r="L11" i="1" s="1"/>
  <c r="M11" i="1" s="1"/>
  <c r="J168" i="1"/>
  <c r="L168" i="1" s="1"/>
  <c r="M168" i="1" s="1"/>
  <c r="J12" i="1"/>
  <c r="L12" i="1" s="1"/>
  <c r="M12" i="1" s="1"/>
  <c r="N12" i="1" s="1"/>
  <c r="J301" i="1"/>
  <c r="L301" i="1" s="1"/>
  <c r="M301" i="1" s="1"/>
  <c r="J13" i="1"/>
  <c r="L13" i="1" s="1"/>
  <c r="M13" i="1" s="1"/>
  <c r="J302" i="1"/>
  <c r="L302" i="1" s="1"/>
  <c r="M302" i="1" s="1"/>
  <c r="J303" i="1"/>
  <c r="L303" i="1" s="1"/>
  <c r="M303" i="1" s="1"/>
  <c r="J304" i="1"/>
  <c r="L304" i="1" s="1"/>
  <c r="M304" i="1" s="1"/>
  <c r="J101" i="1"/>
  <c r="L101" i="1" s="1"/>
  <c r="M101" i="1" s="1"/>
  <c r="L236" i="1"/>
  <c r="M236" i="1" s="1"/>
  <c r="J102" i="1"/>
  <c r="L102" i="1" s="1"/>
  <c r="M102" i="1" s="1"/>
  <c r="J103" i="1"/>
  <c r="L103" i="1" s="1"/>
  <c r="M103" i="1" s="1"/>
  <c r="J14" i="1"/>
  <c r="L14" i="1" s="1"/>
  <c r="M14" i="1" s="1"/>
  <c r="J305" i="1"/>
  <c r="L305" i="1" s="1"/>
  <c r="M305" i="1" s="1"/>
  <c r="J306" i="1"/>
  <c r="L306" i="1" s="1"/>
  <c r="M306" i="1" s="1"/>
  <c r="J15" i="1"/>
  <c r="L15" i="1" s="1"/>
  <c r="M15" i="1" s="1"/>
  <c r="J237" i="1"/>
  <c r="L237" i="1" s="1"/>
  <c r="M237" i="1" s="1"/>
  <c r="J104" i="1"/>
  <c r="L104" i="1" s="1"/>
  <c r="M104" i="1" s="1"/>
  <c r="J105" i="1"/>
  <c r="L105" i="1" s="1"/>
  <c r="M105" i="1" s="1"/>
  <c r="J16" i="1"/>
  <c r="L16" i="1" s="1"/>
  <c r="M16" i="1" s="1"/>
  <c r="J238" i="1"/>
  <c r="L238" i="1" s="1"/>
  <c r="M238" i="1" s="1"/>
  <c r="J239" i="1"/>
  <c r="L239" i="1" s="1"/>
  <c r="M239" i="1" s="1"/>
  <c r="J240" i="1"/>
  <c r="L240" i="1" s="1"/>
  <c r="M240" i="1" s="1"/>
  <c r="J17" i="1"/>
  <c r="L17" i="1" s="1"/>
  <c r="M17" i="1" s="1"/>
  <c r="J18" i="1"/>
  <c r="L18" i="1" s="1"/>
  <c r="M18" i="1" s="1"/>
  <c r="J241" i="1"/>
  <c r="L241" i="1" s="1"/>
  <c r="M241" i="1" s="1"/>
  <c r="J307" i="1"/>
  <c r="L307" i="1" s="1"/>
  <c r="M307" i="1" s="1"/>
  <c r="J19" i="1"/>
  <c r="L19" i="1" s="1"/>
  <c r="M19" i="1" s="1"/>
  <c r="J106" i="1"/>
  <c r="L106" i="1" s="1"/>
  <c r="M106" i="1" s="1"/>
  <c r="J20" i="1"/>
  <c r="L20" i="1" s="1"/>
  <c r="M20" i="1" s="1"/>
  <c r="J21" i="1"/>
  <c r="L21" i="1" s="1"/>
  <c r="M21" i="1" s="1"/>
  <c r="N21" i="1" s="1"/>
  <c r="J242" i="1"/>
  <c r="L242" i="1" s="1"/>
  <c r="M242" i="1" s="1"/>
  <c r="J107" i="1"/>
  <c r="L107" i="1" s="1"/>
  <c r="M107" i="1" s="1"/>
  <c r="J169" i="1"/>
  <c r="L169" i="1" s="1"/>
  <c r="M169" i="1" s="1"/>
  <c r="J243" i="1"/>
  <c r="L243" i="1" s="1"/>
  <c r="M243" i="1" s="1"/>
  <c r="J22" i="1"/>
  <c r="L22" i="1" s="1"/>
  <c r="M22" i="1" s="1"/>
  <c r="J170" i="1"/>
  <c r="L170" i="1" s="1"/>
  <c r="M170" i="1" s="1"/>
  <c r="J108" i="1"/>
  <c r="L108" i="1" s="1"/>
  <c r="M108" i="1" s="1"/>
  <c r="J308" i="1"/>
  <c r="L308" i="1" s="1"/>
  <c r="M308" i="1" s="1"/>
  <c r="J171" i="1"/>
  <c r="L171" i="1" s="1"/>
  <c r="M171" i="1" s="1"/>
  <c r="J309" i="1"/>
  <c r="L309" i="1" s="1"/>
  <c r="M309" i="1" s="1"/>
  <c r="J23" i="1"/>
  <c r="L23" i="1" s="1"/>
  <c r="M23" i="1" s="1"/>
  <c r="J310" i="1"/>
  <c r="L310" i="1" s="1"/>
  <c r="M310" i="1" s="1"/>
  <c r="J244" i="1"/>
  <c r="L244" i="1" s="1"/>
  <c r="M244" i="1" s="1"/>
  <c r="J24" i="1"/>
  <c r="L24" i="1" s="1"/>
  <c r="M24" i="1" s="1"/>
  <c r="N24" i="1" s="1"/>
  <c r="J172" i="1"/>
  <c r="L172" i="1" s="1"/>
  <c r="M172" i="1" s="1"/>
  <c r="J25" i="1"/>
  <c r="L25" i="1" s="1"/>
  <c r="M25" i="1" s="1"/>
  <c r="J311" i="1"/>
  <c r="L311" i="1" s="1"/>
  <c r="M311" i="1" s="1"/>
  <c r="J109" i="1"/>
  <c r="L109" i="1" s="1"/>
  <c r="M109" i="1" s="1"/>
  <c r="J312" i="1"/>
  <c r="L312" i="1" s="1"/>
  <c r="M312" i="1" s="1"/>
  <c r="J110" i="1"/>
  <c r="L110" i="1" s="1"/>
  <c r="M110" i="1" s="1"/>
  <c r="J313" i="1"/>
  <c r="L313" i="1" s="1"/>
  <c r="M313" i="1" s="1"/>
  <c r="J111" i="1"/>
  <c r="L111" i="1" s="1"/>
  <c r="M111" i="1" s="1"/>
  <c r="J26" i="1"/>
  <c r="L26" i="1" s="1"/>
  <c r="M26" i="1" s="1"/>
  <c r="N26" i="1" s="1"/>
  <c r="J173" i="1"/>
  <c r="L173" i="1" s="1"/>
  <c r="M173" i="1" s="1"/>
  <c r="J174" i="1"/>
  <c r="L174" i="1" s="1"/>
  <c r="M174" i="1" s="1"/>
  <c r="J112" i="1"/>
  <c r="L112" i="1" s="1"/>
  <c r="M112" i="1" s="1"/>
  <c r="L27" i="1"/>
  <c r="M27" i="1" s="1"/>
  <c r="J245" i="1"/>
  <c r="L245" i="1" s="1"/>
  <c r="M245" i="1" s="1"/>
  <c r="J175" i="1"/>
  <c r="L175" i="1" s="1"/>
  <c r="M175" i="1" s="1"/>
  <c r="J113" i="1"/>
  <c r="L113" i="1" s="1"/>
  <c r="M113" i="1" s="1"/>
  <c r="J246" i="1"/>
  <c r="L246" i="1" s="1"/>
  <c r="M246" i="1" s="1"/>
  <c r="J176" i="1"/>
  <c r="L176" i="1" s="1"/>
  <c r="M176" i="1" s="1"/>
  <c r="J28" i="1"/>
  <c r="L28" i="1" s="1"/>
  <c r="M28" i="1" s="1"/>
  <c r="J114" i="1"/>
  <c r="L114" i="1" s="1"/>
  <c r="M114" i="1" s="1"/>
  <c r="J314" i="1"/>
  <c r="L314" i="1" s="1"/>
  <c r="M314" i="1" s="1"/>
  <c r="J315" i="1"/>
  <c r="L315" i="1" s="1"/>
  <c r="M315" i="1" s="1"/>
  <c r="J247" i="1"/>
  <c r="L247" i="1" s="1"/>
  <c r="M247" i="1" s="1"/>
  <c r="J29" i="1"/>
  <c r="L29" i="1" s="1"/>
  <c r="M29" i="1" s="1"/>
  <c r="J248" i="1"/>
  <c r="L248" i="1" s="1"/>
  <c r="M248" i="1" s="1"/>
  <c r="J30" i="1"/>
  <c r="L30" i="1" s="1"/>
  <c r="M30" i="1" s="1"/>
  <c r="J31" i="1"/>
  <c r="L31" i="1" s="1"/>
  <c r="M31" i="1" s="1"/>
  <c r="J316" i="1"/>
  <c r="L316" i="1" s="1"/>
  <c r="M316" i="1" s="1"/>
  <c r="J249" i="1"/>
  <c r="L249" i="1" s="1"/>
  <c r="M249" i="1" s="1"/>
  <c r="J115" i="1"/>
  <c r="L115" i="1" s="1"/>
  <c r="M115" i="1" s="1"/>
  <c r="J317" i="1"/>
  <c r="L317" i="1" s="1"/>
  <c r="M317" i="1" s="1"/>
  <c r="J177" i="1"/>
  <c r="L177" i="1" s="1"/>
  <c r="M177" i="1" s="1"/>
  <c r="J318" i="1"/>
  <c r="L318" i="1" s="1"/>
  <c r="M318" i="1" s="1"/>
  <c r="J178" i="1"/>
  <c r="L178" i="1" s="1"/>
  <c r="M178" i="1" s="1"/>
  <c r="J179" i="1"/>
  <c r="L179" i="1" s="1"/>
  <c r="M179" i="1" s="1"/>
  <c r="J32" i="1"/>
  <c r="L32" i="1" s="1"/>
  <c r="M32" i="1" s="1"/>
  <c r="J33" i="1"/>
  <c r="L33" i="1" s="1"/>
  <c r="M33" i="1" s="1"/>
  <c r="J34" i="1"/>
  <c r="L34" i="1" s="1"/>
  <c r="M34" i="1" s="1"/>
  <c r="N34" i="1" s="1"/>
  <c r="J180" i="1"/>
  <c r="L180" i="1" s="1"/>
  <c r="M180" i="1" s="1"/>
  <c r="J319" i="1"/>
  <c r="L319" i="1" s="1"/>
  <c r="M319" i="1" s="1"/>
  <c r="J320" i="1"/>
  <c r="L320" i="1" s="1"/>
  <c r="M320" i="1" s="1"/>
  <c r="J321" i="1"/>
  <c r="L321" i="1" s="1"/>
  <c r="M321" i="1" s="1"/>
  <c r="J35" i="1"/>
  <c r="L35" i="1" s="1"/>
  <c r="M35" i="1" s="1"/>
  <c r="N35" i="1" s="1"/>
  <c r="J181" i="1"/>
  <c r="L181" i="1" s="1"/>
  <c r="M181" i="1" s="1"/>
  <c r="J322" i="1"/>
  <c r="L322" i="1" s="1"/>
  <c r="M322" i="1" s="1"/>
  <c r="J182" i="1"/>
  <c r="L182" i="1" s="1"/>
  <c r="M182" i="1" s="1"/>
  <c r="J323" i="1"/>
  <c r="L323" i="1" s="1"/>
  <c r="M323" i="1" s="1"/>
  <c r="J250" i="1"/>
  <c r="L250" i="1" s="1"/>
  <c r="M250" i="1" s="1"/>
  <c r="J36" i="1"/>
  <c r="L36" i="1" s="1"/>
  <c r="M36" i="1" s="1"/>
  <c r="N36" i="1" s="1"/>
  <c r="J251" i="1"/>
  <c r="L251" i="1" s="1"/>
  <c r="M251" i="1" s="1"/>
  <c r="J116" i="1"/>
  <c r="L116" i="1" s="1"/>
  <c r="M116" i="1" s="1"/>
  <c r="J183" i="1"/>
  <c r="L183" i="1" s="1"/>
  <c r="M183" i="1" s="1"/>
  <c r="J37" i="1"/>
  <c r="L37" i="1" s="1"/>
  <c r="M37" i="1" s="1"/>
  <c r="J38" i="1"/>
  <c r="L38" i="1" s="1"/>
  <c r="M38" i="1" s="1"/>
  <c r="N38" i="1" s="1"/>
  <c r="J252" i="1"/>
  <c r="L252" i="1" s="1"/>
  <c r="M252" i="1" s="1"/>
  <c r="J184" i="1"/>
  <c r="L184" i="1" s="1"/>
  <c r="M184" i="1" s="1"/>
  <c r="J253" i="1"/>
  <c r="L253" i="1" s="1"/>
  <c r="M253" i="1" s="1"/>
  <c r="J117" i="1"/>
  <c r="L117" i="1" s="1"/>
  <c r="M117" i="1" s="1"/>
  <c r="J39" i="1"/>
  <c r="L39" i="1" s="1"/>
  <c r="M39" i="1" s="1"/>
  <c r="J324" i="1"/>
  <c r="L324" i="1" s="1"/>
  <c r="M324" i="1" s="1"/>
  <c r="J40" i="1"/>
  <c r="L40" i="1" s="1"/>
  <c r="M40" i="1" s="1"/>
  <c r="J41" i="1"/>
  <c r="L41" i="1" s="1"/>
  <c r="M41" i="1" s="1"/>
  <c r="J118" i="1"/>
  <c r="L118" i="1" s="1"/>
  <c r="M118" i="1" s="1"/>
  <c r="J185" i="1"/>
  <c r="L185" i="1" s="1"/>
  <c r="M185" i="1" s="1"/>
  <c r="J254" i="1"/>
  <c r="L254" i="1" s="1"/>
  <c r="M254" i="1" s="1"/>
  <c r="J119" i="1"/>
  <c r="L119" i="1" s="1"/>
  <c r="M119" i="1" s="1"/>
  <c r="J186" i="1"/>
  <c r="L186" i="1" s="1"/>
  <c r="M186" i="1" s="1"/>
  <c r="J325" i="1"/>
  <c r="L325" i="1" s="1"/>
  <c r="M325" i="1" s="1"/>
  <c r="J187" i="1"/>
  <c r="L187" i="1" s="1"/>
  <c r="M187" i="1" s="1"/>
  <c r="J42" i="1"/>
  <c r="L42" i="1" s="1"/>
  <c r="M42" i="1" s="1"/>
  <c r="J255" i="1"/>
  <c r="L255" i="1" s="1"/>
  <c r="M255" i="1" s="1"/>
  <c r="J256" i="1"/>
  <c r="L256" i="1" s="1"/>
  <c r="M256" i="1" s="1"/>
  <c r="J120" i="1"/>
  <c r="L120" i="1" s="1"/>
  <c r="M120" i="1" s="1"/>
  <c r="J121" i="1"/>
  <c r="L121" i="1" s="1"/>
  <c r="M121" i="1" s="1"/>
  <c r="J326" i="1"/>
  <c r="L326" i="1" s="1"/>
  <c r="M326" i="1" s="1"/>
  <c r="J257" i="1"/>
  <c r="L257" i="1" s="1"/>
  <c r="M257" i="1" s="1"/>
  <c r="J258" i="1"/>
  <c r="L258" i="1" s="1"/>
  <c r="M258" i="1" s="1"/>
  <c r="J43" i="1"/>
  <c r="L43" i="1" s="1"/>
  <c r="M43" i="1" s="1"/>
  <c r="J327" i="1"/>
  <c r="L327" i="1" s="1"/>
  <c r="M327" i="1" s="1"/>
  <c r="J44" i="1"/>
  <c r="L44" i="1" s="1"/>
  <c r="M44" i="1" s="1"/>
  <c r="J188" i="1"/>
  <c r="L188" i="1" s="1"/>
  <c r="M188" i="1" s="1"/>
  <c r="J259" i="1"/>
  <c r="L259" i="1" s="1"/>
  <c r="M259" i="1" s="1"/>
  <c r="J328" i="1"/>
  <c r="L328" i="1" s="1"/>
  <c r="M328" i="1" s="1"/>
  <c r="J189" i="1"/>
  <c r="L189" i="1" s="1"/>
  <c r="M189" i="1" s="1"/>
  <c r="J45" i="1"/>
  <c r="L45" i="1" s="1"/>
  <c r="M45" i="1" s="1"/>
  <c r="J260" i="1"/>
  <c r="L260" i="1" s="1"/>
  <c r="M260" i="1" s="1"/>
  <c r="J261" i="1"/>
  <c r="L261" i="1" s="1"/>
  <c r="M261" i="1" s="1"/>
  <c r="J262" i="1"/>
  <c r="L262" i="1" s="1"/>
  <c r="M262" i="1" s="1"/>
  <c r="J46" i="1"/>
  <c r="L46" i="1" s="1"/>
  <c r="M46" i="1" s="1"/>
  <c r="J263" i="1"/>
  <c r="L263" i="1" s="1"/>
  <c r="M263" i="1" s="1"/>
  <c r="J122" i="1"/>
  <c r="L122" i="1" s="1"/>
  <c r="M122" i="1" s="1"/>
  <c r="J190" i="1"/>
  <c r="L190" i="1" s="1"/>
  <c r="M190" i="1" s="1"/>
  <c r="J123" i="1"/>
  <c r="L123" i="1" s="1"/>
  <c r="M123" i="1" s="1"/>
  <c r="J124" i="1"/>
  <c r="L124" i="1" s="1"/>
  <c r="M124" i="1" s="1"/>
  <c r="J264" i="1"/>
  <c r="L264" i="1" s="1"/>
  <c r="M264" i="1" s="1"/>
  <c r="J329" i="1"/>
  <c r="L329" i="1" s="1"/>
  <c r="M329" i="1" s="1"/>
  <c r="J47" i="1"/>
  <c r="L47" i="1" s="1"/>
  <c r="M47" i="1" s="1"/>
  <c r="J191" i="1"/>
  <c r="L191" i="1" s="1"/>
  <c r="M191" i="1" s="1"/>
  <c r="J48" i="1"/>
  <c r="L48" i="1" s="1"/>
  <c r="M48" i="1" s="1"/>
  <c r="J265" i="1"/>
  <c r="L265" i="1" s="1"/>
  <c r="M265" i="1" s="1"/>
  <c r="J266" i="1"/>
  <c r="L266" i="1" s="1"/>
  <c r="M266" i="1" s="1"/>
  <c r="J330" i="1"/>
  <c r="L330" i="1" s="1"/>
  <c r="M330" i="1" s="1"/>
  <c r="J125" i="1"/>
  <c r="L125" i="1" s="1"/>
  <c r="M125" i="1" s="1"/>
  <c r="J126" i="1"/>
  <c r="L126" i="1" s="1"/>
  <c r="M126" i="1" s="1"/>
  <c r="J49" i="1"/>
  <c r="L49" i="1" s="1"/>
  <c r="M49" i="1" s="1"/>
  <c r="J267" i="1"/>
  <c r="L267" i="1" s="1"/>
  <c r="M267" i="1" s="1"/>
  <c r="J192" i="1"/>
  <c r="L192" i="1" s="1"/>
  <c r="M192" i="1" s="1"/>
  <c r="J268" i="1"/>
  <c r="L268" i="1" s="1"/>
  <c r="M268" i="1" s="1"/>
  <c r="J269" i="1"/>
  <c r="L269" i="1" s="1"/>
  <c r="M269" i="1" s="1"/>
  <c r="J193" i="1"/>
  <c r="L193" i="1" s="1"/>
  <c r="M193" i="1" s="1"/>
  <c r="J194" i="1"/>
  <c r="L194" i="1" s="1"/>
  <c r="M194" i="1" s="1"/>
  <c r="J50" i="1"/>
  <c r="L50" i="1" s="1"/>
  <c r="M50" i="1" s="1"/>
  <c r="J331" i="1"/>
  <c r="L331" i="1" s="1"/>
  <c r="M331" i="1" s="1"/>
  <c r="J51" i="1"/>
  <c r="L51" i="1" s="1"/>
  <c r="M51" i="1" s="1"/>
  <c r="J332" i="1"/>
  <c r="L332" i="1" s="1"/>
  <c r="M332" i="1" s="1"/>
  <c r="J333" i="1"/>
  <c r="L333" i="1" s="1"/>
  <c r="M333" i="1" s="1"/>
  <c r="J52" i="1"/>
  <c r="L52" i="1" s="1"/>
  <c r="M52" i="1" s="1"/>
  <c r="J195" i="1"/>
  <c r="L195" i="1" s="1"/>
  <c r="M195" i="1" s="1"/>
  <c r="J127" i="1"/>
  <c r="L127" i="1" s="1"/>
  <c r="M127" i="1" s="1"/>
  <c r="J196" i="1"/>
  <c r="L196" i="1" s="1"/>
  <c r="M196" i="1" s="1"/>
  <c r="J270" i="1"/>
  <c r="L270" i="1" s="1"/>
  <c r="M270" i="1" s="1"/>
  <c r="J334" i="1"/>
  <c r="L334" i="1" s="1"/>
  <c r="M334" i="1" s="1"/>
  <c r="J128" i="1"/>
  <c r="L128" i="1" s="1"/>
  <c r="M128" i="1" s="1"/>
  <c r="J197" i="1"/>
  <c r="L197" i="1" s="1"/>
  <c r="M197" i="1" s="1"/>
  <c r="J198" i="1"/>
  <c r="L198" i="1" s="1"/>
  <c r="M198" i="1" s="1"/>
  <c r="J53" i="1"/>
  <c r="L53" i="1" s="1"/>
  <c r="M53" i="1" s="1"/>
  <c r="J129" i="1"/>
  <c r="L129" i="1" s="1"/>
  <c r="M129" i="1" s="1"/>
  <c r="J335" i="1"/>
  <c r="L335" i="1" s="1"/>
  <c r="M335" i="1" s="1"/>
  <c r="J199" i="1"/>
  <c r="L199" i="1" s="1"/>
  <c r="M199" i="1" s="1"/>
  <c r="J200" i="1"/>
  <c r="L200" i="1" s="1"/>
  <c r="M200" i="1" s="1"/>
  <c r="J54" i="1"/>
  <c r="L54" i="1" s="1"/>
  <c r="M54" i="1" s="1"/>
  <c r="J130" i="1"/>
  <c r="L130" i="1" s="1"/>
  <c r="M130" i="1" s="1"/>
  <c r="J271" i="1"/>
  <c r="L271" i="1" s="1"/>
  <c r="M271" i="1" s="1"/>
  <c r="J272" i="1"/>
  <c r="L272" i="1" s="1"/>
  <c r="M272" i="1" s="1"/>
  <c r="J336" i="1"/>
  <c r="L336" i="1" s="1"/>
  <c r="M336" i="1" s="1"/>
  <c r="J273" i="1"/>
  <c r="L273" i="1" s="1"/>
  <c r="M273" i="1" s="1"/>
  <c r="J55" i="1"/>
  <c r="L55" i="1" s="1"/>
  <c r="M55" i="1" s="1"/>
  <c r="N55" i="1" s="1"/>
  <c r="J56" i="1"/>
  <c r="L56" i="1" s="1"/>
  <c r="M56" i="1" s="1"/>
  <c r="J131" i="1"/>
  <c r="L131" i="1" s="1"/>
  <c r="M131" i="1" s="1"/>
  <c r="J274" i="1"/>
  <c r="L274" i="1" s="1"/>
  <c r="M274" i="1" s="1"/>
  <c r="J57" i="1"/>
  <c r="L57" i="1" s="1"/>
  <c r="M57" i="1" s="1"/>
  <c r="J201" i="1"/>
  <c r="L201" i="1" s="1"/>
  <c r="M201" i="1" s="1"/>
  <c r="J337" i="1"/>
  <c r="L337" i="1" s="1"/>
  <c r="M337" i="1" s="1"/>
  <c r="L132" i="1"/>
  <c r="M132" i="1" s="1"/>
  <c r="J58" i="1"/>
  <c r="L58" i="1" s="1"/>
  <c r="M58" i="1" s="1"/>
  <c r="J202" i="1"/>
  <c r="L202" i="1" s="1"/>
  <c r="M202" i="1" s="1"/>
  <c r="J338" i="1"/>
  <c r="L338" i="1" s="1"/>
  <c r="M338" i="1" s="1"/>
  <c r="J203" i="1"/>
  <c r="L203" i="1" s="1"/>
  <c r="M203" i="1" s="1"/>
  <c r="J59" i="1"/>
  <c r="L59" i="1" s="1"/>
  <c r="M59" i="1" s="1"/>
  <c r="N59" i="1" s="1"/>
  <c r="J275" i="1"/>
  <c r="L275" i="1" s="1"/>
  <c r="M275" i="1" s="1"/>
  <c r="J339" i="1"/>
  <c r="L339" i="1" s="1"/>
  <c r="M339" i="1" s="1"/>
  <c r="J133" i="1"/>
  <c r="L133" i="1" s="1"/>
  <c r="M133" i="1" s="1"/>
  <c r="J60" i="1"/>
  <c r="L60" i="1" s="1"/>
  <c r="M60" i="1" s="1"/>
  <c r="N60" i="1" s="1"/>
  <c r="J276" i="1"/>
  <c r="L276" i="1" s="1"/>
  <c r="M276" i="1" s="1"/>
  <c r="J61" i="1"/>
  <c r="L61" i="1" s="1"/>
  <c r="M61" i="1" s="1"/>
  <c r="J134" i="1"/>
  <c r="L134" i="1" s="1"/>
  <c r="M134" i="1" s="1"/>
  <c r="J62" i="1"/>
  <c r="L62" i="1" s="1"/>
  <c r="M62" i="1" s="1"/>
  <c r="J204" i="1"/>
  <c r="L204" i="1" s="1"/>
  <c r="M204" i="1" s="1"/>
  <c r="J63" i="1"/>
  <c r="L63" i="1" s="1"/>
  <c r="M63" i="1" s="1"/>
  <c r="N63" i="1" s="1"/>
  <c r="J277" i="1"/>
  <c r="L277" i="1" s="1"/>
  <c r="M277" i="1" s="1"/>
  <c r="J340" i="1"/>
  <c r="L340" i="1" s="1"/>
  <c r="M340" i="1" s="1"/>
  <c r="J64" i="1"/>
  <c r="L64" i="1" s="1"/>
  <c r="M64" i="1" s="1"/>
  <c r="J341" i="1"/>
  <c r="L341" i="1" s="1"/>
  <c r="M341" i="1" s="1"/>
  <c r="J65" i="1"/>
  <c r="L65" i="1" s="1"/>
  <c r="M65" i="1" s="1"/>
  <c r="J135" i="1"/>
  <c r="L135" i="1" s="1"/>
  <c r="M135" i="1" s="1"/>
  <c r="J136" i="1"/>
  <c r="L136" i="1" s="1"/>
  <c r="M136" i="1" s="1"/>
  <c r="J278" i="1"/>
  <c r="L278" i="1" s="1"/>
  <c r="M278" i="1" s="1"/>
  <c r="J279" i="1"/>
  <c r="L279" i="1" s="1"/>
  <c r="M279" i="1" s="1"/>
  <c r="J342" i="1"/>
  <c r="L342" i="1" s="1"/>
  <c r="M342" i="1" s="1"/>
  <c r="J280" i="1"/>
  <c r="L280" i="1" s="1"/>
  <c r="M280" i="1" s="1"/>
  <c r="J343" i="1"/>
  <c r="L343" i="1" s="1"/>
  <c r="M343" i="1" s="1"/>
  <c r="J137" i="1"/>
  <c r="L137" i="1" s="1"/>
  <c r="M137" i="1" s="1"/>
  <c r="J281" i="1"/>
  <c r="L281" i="1" s="1"/>
  <c r="M281" i="1" s="1"/>
  <c r="J205" i="1"/>
  <c r="L205" i="1" s="1"/>
  <c r="M205" i="1" s="1"/>
  <c r="J66" i="1"/>
  <c r="L66" i="1" s="1"/>
  <c r="M66" i="1" s="1"/>
  <c r="J344" i="1"/>
  <c r="L344" i="1" s="1"/>
  <c r="M344" i="1" s="1"/>
  <c r="J206" i="1"/>
  <c r="L206" i="1" s="1"/>
  <c r="M206" i="1" s="1"/>
  <c r="J207" i="1"/>
  <c r="L207" i="1" s="1"/>
  <c r="M207" i="1" s="1"/>
  <c r="J138" i="1"/>
  <c r="L138" i="1" s="1"/>
  <c r="M138" i="1" s="1"/>
  <c r="J67" i="1"/>
  <c r="L67" i="1" s="1"/>
  <c r="M67" i="1" s="1"/>
  <c r="J282" i="1"/>
  <c r="L282" i="1" s="1"/>
  <c r="M282" i="1" s="1"/>
  <c r="J208" i="1"/>
  <c r="L208" i="1" s="1"/>
  <c r="M208" i="1" s="1"/>
  <c r="J345" i="1"/>
  <c r="L345" i="1" s="1"/>
  <c r="M345" i="1" s="1"/>
  <c r="J68" i="1"/>
  <c r="L68" i="1" s="1"/>
  <c r="M68" i="1" s="1"/>
  <c r="N68" i="1" s="1"/>
  <c r="J69" i="1"/>
  <c r="L69" i="1" s="1"/>
  <c r="M69" i="1" s="1"/>
  <c r="N69" i="1" s="1"/>
  <c r="J283" i="1"/>
  <c r="L283" i="1" s="1"/>
  <c r="M283" i="1" s="1"/>
  <c r="J346" i="1"/>
  <c r="L346" i="1" s="1"/>
  <c r="M346" i="1" s="1"/>
  <c r="J284" i="1"/>
  <c r="L284" i="1" s="1"/>
  <c r="M284" i="1" s="1"/>
  <c r="J347" i="1"/>
  <c r="L347" i="1" s="1"/>
  <c r="M347" i="1" s="1"/>
  <c r="J209" i="1"/>
  <c r="L209" i="1" s="1"/>
  <c r="M209" i="1" s="1"/>
  <c r="J348" i="1"/>
  <c r="L348" i="1" s="1"/>
  <c r="M348" i="1" s="1"/>
  <c r="J349" i="1"/>
  <c r="L349" i="1" s="1"/>
  <c r="M349" i="1" s="1"/>
  <c r="J70" i="1"/>
  <c r="L70" i="1" s="1"/>
  <c r="M70" i="1" s="1"/>
  <c r="N70" i="1" s="1"/>
  <c r="J139" i="1"/>
  <c r="L139" i="1" s="1"/>
  <c r="M139" i="1" s="1"/>
  <c r="J140" i="1"/>
  <c r="L140" i="1" s="1"/>
  <c r="M140" i="1" s="1"/>
  <c r="J210" i="1"/>
  <c r="L210" i="1" s="1"/>
  <c r="M210" i="1" s="1"/>
  <c r="J211" i="1"/>
  <c r="L211" i="1" s="1"/>
  <c r="M211" i="1" s="1"/>
  <c r="J141" i="1"/>
  <c r="L141" i="1" s="1"/>
  <c r="M141" i="1" s="1"/>
  <c r="J71" i="1"/>
  <c r="L71" i="1" s="1"/>
  <c r="M71" i="1" s="1"/>
  <c r="J212" i="1"/>
  <c r="L212" i="1" s="1"/>
  <c r="M212" i="1" s="1"/>
  <c r="J285" i="1"/>
  <c r="L285" i="1" s="1"/>
  <c r="M285" i="1" s="1"/>
  <c r="J142" i="1"/>
  <c r="L142" i="1" s="1"/>
  <c r="M142" i="1" s="1"/>
  <c r="J143" i="1"/>
  <c r="L143" i="1" s="1"/>
  <c r="M143" i="1" s="1"/>
  <c r="J350" i="1"/>
  <c r="L350" i="1" s="1"/>
  <c r="M350" i="1" s="1"/>
  <c r="J72" i="1"/>
  <c r="L72" i="1" s="1"/>
  <c r="M72" i="1" s="1"/>
  <c r="N72" i="1" s="1"/>
  <c r="J144" i="1"/>
  <c r="L144" i="1" s="1"/>
  <c r="M144" i="1" s="1"/>
  <c r="J145" i="1"/>
  <c r="L145" i="1" s="1"/>
  <c r="M145" i="1" s="1"/>
  <c r="J73" i="1"/>
  <c r="L73" i="1" s="1"/>
  <c r="M73" i="1" s="1"/>
  <c r="N73" i="1" s="1"/>
  <c r="J351" i="1"/>
  <c r="L351" i="1" s="1"/>
  <c r="M351" i="1" s="1"/>
  <c r="J286" i="1"/>
  <c r="L286" i="1" s="1"/>
  <c r="M286" i="1" s="1"/>
  <c r="J74" i="1"/>
  <c r="L74" i="1" s="1"/>
  <c r="M74" i="1" s="1"/>
  <c r="N74" i="1" s="1"/>
  <c r="J75" i="1"/>
  <c r="L75" i="1" s="1"/>
  <c r="M75" i="1" s="1"/>
  <c r="N75" i="1" s="1"/>
  <c r="J76" i="1"/>
  <c r="L76" i="1" s="1"/>
  <c r="M76" i="1" s="1"/>
  <c r="J146" i="1"/>
  <c r="L146" i="1" s="1"/>
  <c r="M146" i="1" s="1"/>
  <c r="J287" i="1"/>
  <c r="L287" i="1" s="1"/>
  <c r="M287" i="1" s="1"/>
  <c r="J213" i="1"/>
  <c r="L213" i="1" s="1"/>
  <c r="M213" i="1" s="1"/>
  <c r="J77" i="1"/>
  <c r="L77" i="1" s="1"/>
  <c r="M77" i="1" s="1"/>
  <c r="J147" i="1"/>
  <c r="L147" i="1" s="1"/>
  <c r="M147" i="1" s="1"/>
  <c r="J214" i="1"/>
  <c r="L214" i="1" s="1"/>
  <c r="M214" i="1" s="1"/>
  <c r="J352" i="1"/>
  <c r="L352" i="1" s="1"/>
  <c r="M352" i="1" s="1"/>
  <c r="J148" i="1"/>
  <c r="L148" i="1" s="1"/>
  <c r="M148" i="1" s="1"/>
  <c r="J149" i="1"/>
  <c r="L149" i="1" s="1"/>
  <c r="M149" i="1" s="1"/>
  <c r="J78" i="1"/>
  <c r="L78" i="1" s="1"/>
  <c r="M78" i="1" s="1"/>
  <c r="J288" i="1"/>
  <c r="L288" i="1" s="1"/>
  <c r="M288" i="1" s="1"/>
  <c r="J150" i="1"/>
  <c r="L150" i="1" s="1"/>
  <c r="M150" i="1" s="1"/>
  <c r="J79" i="1"/>
  <c r="L79" i="1" s="1"/>
  <c r="M79" i="1" s="1"/>
  <c r="N79" i="1" s="1"/>
  <c r="J151" i="1"/>
  <c r="L151" i="1" s="1"/>
  <c r="M151" i="1" s="1"/>
  <c r="J152" i="1"/>
  <c r="L152" i="1" s="1"/>
  <c r="M152" i="1" s="1"/>
  <c r="J289" i="1"/>
  <c r="L289" i="1" s="1"/>
  <c r="M289" i="1" s="1"/>
  <c r="J290" i="1"/>
  <c r="L290" i="1" s="1"/>
  <c r="M290" i="1" s="1"/>
  <c r="J353" i="1"/>
  <c r="L353" i="1" s="1"/>
  <c r="M353" i="1" s="1"/>
  <c r="J153" i="1"/>
  <c r="L153" i="1" s="1"/>
  <c r="M153" i="1" s="1"/>
  <c r="J215" i="1"/>
  <c r="L215" i="1" s="1"/>
  <c r="M215" i="1" s="1"/>
  <c r="J354" i="1"/>
  <c r="L354" i="1" s="1"/>
  <c r="M354" i="1" s="1"/>
  <c r="J154" i="1"/>
  <c r="L154" i="1" s="1"/>
  <c r="M154" i="1" s="1"/>
  <c r="J355" i="1"/>
  <c r="L355" i="1" s="1"/>
  <c r="M355" i="1" s="1"/>
  <c r="J216" i="1"/>
  <c r="L216" i="1" s="1"/>
  <c r="M216" i="1" s="1"/>
  <c r="J217" i="1"/>
  <c r="L217" i="1" s="1"/>
  <c r="M217" i="1" s="1"/>
  <c r="J218" i="1"/>
  <c r="L218" i="1" s="1"/>
  <c r="M218" i="1" s="1"/>
  <c r="J80" i="1"/>
  <c r="L80" i="1" s="1"/>
  <c r="M80" i="1" s="1"/>
  <c r="J219" i="1"/>
  <c r="L219" i="1" s="1"/>
  <c r="M219" i="1" s="1"/>
  <c r="J81" i="1"/>
  <c r="L81" i="1" s="1"/>
  <c r="M81" i="1" s="1"/>
  <c r="J155" i="1"/>
  <c r="L155" i="1" s="1"/>
  <c r="M155" i="1" s="1"/>
  <c r="J356" i="1"/>
  <c r="L356" i="1" s="1"/>
  <c r="M356" i="1" s="1"/>
  <c r="J291" i="1"/>
  <c r="L291" i="1" s="1"/>
  <c r="M291" i="1" s="1"/>
  <c r="J156" i="1"/>
  <c r="L156" i="1" s="1"/>
  <c r="M156" i="1" s="1"/>
  <c r="J357" i="1"/>
  <c r="L357" i="1" s="1"/>
  <c r="M357" i="1" s="1"/>
  <c r="J82" i="1"/>
  <c r="L82" i="1" s="1"/>
  <c r="M82" i="1" s="1"/>
  <c r="J157" i="1"/>
  <c r="L157" i="1" s="1"/>
  <c r="M157" i="1" s="1"/>
  <c r="J83" i="1"/>
  <c r="L83" i="1" s="1"/>
  <c r="M83" i="1" s="1"/>
  <c r="J220" i="1"/>
  <c r="L220" i="1" s="1"/>
  <c r="M220" i="1" s="1"/>
  <c r="J358" i="1"/>
  <c r="L358" i="1" s="1"/>
  <c r="M358" i="1" s="1"/>
  <c r="J84" i="1"/>
  <c r="L84" i="1" s="1"/>
  <c r="M84" i="1" s="1"/>
  <c r="J292" i="1"/>
  <c r="L292" i="1" s="1"/>
  <c r="M292" i="1" s="1"/>
  <c r="J293" i="1"/>
  <c r="L293" i="1" s="1"/>
  <c r="M293" i="1" s="1"/>
  <c r="J221" i="1"/>
  <c r="L221" i="1" s="1"/>
  <c r="M221" i="1" s="1"/>
  <c r="J222" i="1"/>
  <c r="L222" i="1" s="1"/>
  <c r="M222" i="1" s="1"/>
  <c r="J223" i="1"/>
  <c r="L223" i="1" s="1"/>
  <c r="M223" i="1" s="1"/>
  <c r="J294" i="1"/>
  <c r="L294" i="1" s="1"/>
  <c r="M294" i="1" s="1"/>
  <c r="J359" i="1"/>
  <c r="L359" i="1" s="1"/>
  <c r="M359" i="1" s="1"/>
  <c r="J224" i="1"/>
  <c r="L224" i="1" s="1"/>
  <c r="M224" i="1" s="1"/>
  <c r="J360" i="1"/>
  <c r="L360" i="1" s="1"/>
  <c r="M360" i="1" s="1"/>
  <c r="J85" i="1"/>
  <c r="L85" i="1" s="1"/>
  <c r="M85" i="1" s="1"/>
  <c r="N85" i="1" s="1"/>
  <c r="J86" i="1"/>
  <c r="L86" i="1" s="1"/>
  <c r="M86" i="1" s="1"/>
  <c r="J225" i="1"/>
  <c r="L225" i="1" s="1"/>
  <c r="M225" i="1" s="1"/>
  <c r="J87" i="1"/>
  <c r="L87" i="1" s="1"/>
  <c r="M87" i="1" s="1"/>
  <c r="J88" i="1"/>
  <c r="L88" i="1" s="1"/>
  <c r="M88" i="1" s="1"/>
  <c r="J158" i="1"/>
  <c r="L158" i="1" s="1"/>
  <c r="M158" i="1" s="1"/>
  <c r="J159" i="1"/>
  <c r="L159" i="1" s="1"/>
  <c r="M159" i="1" s="1"/>
  <c r="J89" i="1"/>
  <c r="L89" i="1" s="1"/>
  <c r="M89" i="1" s="1"/>
  <c r="J295" i="1"/>
  <c r="L295" i="1" s="1"/>
  <c r="M295" i="1" s="1"/>
  <c r="J226" i="1"/>
  <c r="L226" i="1" s="1"/>
  <c r="M226" i="1" s="1"/>
  <c r="J90" i="1"/>
  <c r="L90" i="1" s="1"/>
  <c r="M90" i="1" s="1"/>
  <c r="N90" i="1" s="1"/>
  <c r="J91" i="1"/>
  <c r="L91" i="1" s="1"/>
  <c r="M91" i="1" s="1"/>
  <c r="J227" i="1"/>
  <c r="L227" i="1" s="1"/>
  <c r="M227" i="1" s="1"/>
  <c r="J160" i="1"/>
  <c r="L160" i="1" s="1"/>
  <c r="M160" i="1" s="1"/>
  <c r="J161" i="1"/>
  <c r="L161" i="1" s="1"/>
  <c r="M161" i="1" s="1"/>
  <c r="J228" i="1"/>
  <c r="L228" i="1" s="1"/>
  <c r="M228" i="1" s="1"/>
  <c r="J162" i="1"/>
  <c r="L162" i="1" s="1"/>
  <c r="M162" i="1" s="1"/>
  <c r="J163" i="1"/>
  <c r="L163" i="1" s="1"/>
  <c r="M163" i="1" s="1"/>
  <c r="J361" i="1"/>
  <c r="L361" i="1" s="1"/>
  <c r="M361" i="1" s="1"/>
  <c r="J92" i="1"/>
  <c r="L92" i="1" s="1"/>
  <c r="M92" i="1" s="1"/>
  <c r="J93" i="1"/>
  <c r="L93" i="1" s="1"/>
  <c r="M93" i="1" s="1"/>
  <c r="N93" i="1" s="1"/>
  <c r="J362" i="1"/>
  <c r="L362" i="1" s="1"/>
  <c r="M362" i="1" s="1"/>
  <c r="J94" i="1"/>
  <c r="L94" i="1" s="1"/>
  <c r="M94" i="1" s="1"/>
  <c r="J229" i="1"/>
  <c r="L229" i="1" s="1"/>
  <c r="M229" i="1" s="1"/>
  <c r="J364" i="1" l="1"/>
  <c r="N236" i="1"/>
  <c r="M365" i="1"/>
  <c r="M364" i="1"/>
  <c r="M366" i="1" s="1"/>
  <c r="N27" i="1" l="1"/>
  <c r="N132" i="1"/>
  <c r="N227" i="1"/>
  <c r="N165" i="1"/>
  <c r="N168" i="1"/>
  <c r="N241" i="1"/>
  <c r="N5" i="1"/>
  <c r="N300" i="1"/>
  <c r="N306" i="1"/>
  <c r="N243" i="1"/>
  <c r="N173" i="1"/>
  <c r="N30" i="1"/>
  <c r="N182" i="1"/>
  <c r="N119" i="1"/>
  <c r="N259" i="1"/>
  <c r="N191" i="1"/>
  <c r="N51" i="1"/>
  <c r="N200" i="1"/>
  <c r="N202" i="1"/>
  <c r="N64" i="1"/>
  <c r="N208" i="1"/>
  <c r="N113" i="1"/>
  <c r="N32" i="1"/>
  <c r="N183" i="1"/>
  <c r="N325" i="1"/>
  <c r="N262" i="1"/>
  <c r="N268" i="1"/>
  <c r="N197" i="1"/>
  <c r="N203" i="1"/>
  <c r="N279" i="1"/>
  <c r="N6" i="1"/>
  <c r="N9" i="1"/>
  <c r="N103" i="1"/>
  <c r="N19" i="1"/>
  <c r="N244" i="1"/>
  <c r="N175" i="1"/>
  <c r="N317" i="1"/>
  <c r="N116" i="1"/>
  <c r="N186" i="1"/>
  <c r="N328" i="1"/>
  <c r="N48" i="1"/>
  <c r="N332" i="1"/>
  <c r="N54" i="1"/>
  <c r="N338" i="1"/>
  <c r="N345" i="1"/>
  <c r="N295" i="1"/>
  <c r="N231" i="1"/>
  <c r="N11" i="1"/>
  <c r="N237" i="1"/>
  <c r="N107" i="1"/>
  <c r="N257" i="1"/>
  <c r="N67" i="1"/>
  <c r="N212" i="1"/>
  <c r="N288" i="1"/>
  <c r="N80" i="1"/>
  <c r="N221" i="1"/>
  <c r="N160" i="1"/>
  <c r="N94" i="1"/>
  <c r="N147" i="1"/>
  <c r="N156" i="1"/>
  <c r="N228" i="1"/>
  <c r="N138" i="1"/>
  <c r="N151" i="1"/>
  <c r="N169" i="1"/>
  <c r="N246" i="1"/>
  <c r="N318" i="1"/>
  <c r="N37" i="1"/>
  <c r="N187" i="1"/>
  <c r="N45" i="1"/>
  <c r="N266" i="1"/>
  <c r="N52" i="1"/>
  <c r="N271" i="1"/>
  <c r="N340" i="1"/>
  <c r="N206" i="1"/>
  <c r="N285" i="1"/>
  <c r="N148" i="1"/>
  <c r="N216" i="1"/>
  <c r="N84" i="1"/>
  <c r="N159" i="1"/>
  <c r="N139" i="1"/>
  <c r="N354" i="1"/>
  <c r="N360" i="1"/>
  <c r="N343" i="1"/>
  <c r="N287" i="1"/>
  <c r="N214" i="1"/>
  <c r="N98" i="1"/>
  <c r="N302" i="1"/>
  <c r="N20" i="1"/>
  <c r="N7" i="1"/>
  <c r="N10" i="1"/>
  <c r="N105" i="1"/>
  <c r="N310" i="1"/>
  <c r="N245" i="1"/>
  <c r="N115" i="1"/>
  <c r="N251" i="1"/>
  <c r="N42" i="1"/>
  <c r="N260" i="1"/>
  <c r="N330" i="1"/>
  <c r="N195" i="1"/>
  <c r="N272" i="1"/>
  <c r="N275" i="1"/>
  <c r="N136" i="1"/>
  <c r="N309" i="1"/>
  <c r="N114" i="1"/>
  <c r="N319" i="1"/>
  <c r="N184" i="1"/>
  <c r="N256" i="1"/>
  <c r="N190" i="1"/>
  <c r="N50" i="1"/>
  <c r="N335" i="1"/>
  <c r="N133" i="1"/>
  <c r="N137" i="1"/>
  <c r="N164" i="1"/>
  <c r="N100" i="1"/>
  <c r="N15" i="1"/>
  <c r="N242" i="1"/>
  <c r="N311" i="1"/>
  <c r="N28" i="1"/>
  <c r="N179" i="1"/>
  <c r="N252" i="1"/>
  <c r="N255" i="1"/>
  <c r="N261" i="1"/>
  <c r="N125" i="1"/>
  <c r="N127" i="1"/>
  <c r="N336" i="1"/>
  <c r="N339" i="1"/>
  <c r="N140" i="1"/>
  <c r="N162" i="1"/>
  <c r="N166" i="1"/>
  <c r="N13" i="1"/>
  <c r="N238" i="1"/>
  <c r="N170" i="1"/>
  <c r="N329" i="1"/>
  <c r="N284" i="1"/>
  <c r="N350" i="1"/>
  <c r="N152" i="1"/>
  <c r="N356" i="1"/>
  <c r="N359" i="1"/>
  <c r="N163" i="1"/>
  <c r="N209" i="1"/>
  <c r="N149" i="1"/>
  <c r="N292" i="1"/>
  <c r="N348" i="1"/>
  <c r="N218" i="1"/>
  <c r="N23" i="1"/>
  <c r="N314" i="1"/>
  <c r="N33" i="1"/>
  <c r="N253" i="1"/>
  <c r="N120" i="1"/>
  <c r="N46" i="1"/>
  <c r="N49" i="1"/>
  <c r="N270" i="1"/>
  <c r="N57" i="1"/>
  <c r="N135" i="1"/>
  <c r="N282" i="1"/>
  <c r="N351" i="1"/>
  <c r="N150" i="1"/>
  <c r="N219" i="1"/>
  <c r="N222" i="1"/>
  <c r="N361" i="1"/>
  <c r="N142" i="1"/>
  <c r="N81" i="1"/>
  <c r="N89" i="1"/>
  <c r="N346" i="1"/>
  <c r="N154" i="1"/>
  <c r="N357" i="1"/>
  <c r="N96" i="1"/>
  <c r="N234" i="1"/>
  <c r="N104" i="1"/>
  <c r="N108" i="1"/>
  <c r="N8" i="1"/>
  <c r="N303" i="1"/>
  <c r="N240" i="1"/>
  <c r="N25" i="1"/>
  <c r="N176" i="1"/>
  <c r="N178" i="1"/>
  <c r="N117" i="1"/>
  <c r="N121" i="1"/>
  <c r="N263" i="1"/>
  <c r="N267" i="1"/>
  <c r="N334" i="1"/>
  <c r="N56" i="1"/>
  <c r="N276" i="1"/>
  <c r="N205" i="1"/>
  <c r="N109" i="1"/>
  <c r="N29" i="1"/>
  <c r="N181" i="1"/>
  <c r="N324" i="1"/>
  <c r="N44" i="1"/>
  <c r="N265" i="1"/>
  <c r="N333" i="1"/>
  <c r="N130" i="1"/>
  <c r="N134" i="1"/>
  <c r="N344" i="1"/>
  <c r="N232" i="1"/>
  <c r="N301" i="1"/>
  <c r="N16" i="1"/>
  <c r="N22" i="1"/>
  <c r="N313" i="1"/>
  <c r="N247" i="1"/>
  <c r="N180" i="1"/>
  <c r="N39" i="1"/>
  <c r="N326" i="1"/>
  <c r="N122" i="1"/>
  <c r="N192" i="1"/>
  <c r="N128" i="1"/>
  <c r="N131" i="1"/>
  <c r="N278" i="1"/>
  <c r="N353" i="1"/>
  <c r="N298" i="1"/>
  <c r="N299" i="1"/>
  <c r="N101" i="1"/>
  <c r="N18" i="1"/>
  <c r="N112" i="1"/>
  <c r="N274" i="1"/>
  <c r="N349" i="1"/>
  <c r="N213" i="1"/>
  <c r="N153" i="1"/>
  <c r="N82" i="1"/>
  <c r="N86" i="1"/>
  <c r="N362" i="1"/>
  <c r="N141" i="1"/>
  <c r="N290" i="1"/>
  <c r="N87" i="1"/>
  <c r="N229" i="1"/>
  <c r="N145" i="1"/>
  <c r="N88" i="1"/>
  <c r="N172" i="1"/>
  <c r="N248" i="1"/>
  <c r="N320" i="1"/>
  <c r="N40" i="1"/>
  <c r="N258" i="1"/>
  <c r="N123" i="1"/>
  <c r="N269" i="1"/>
  <c r="N198" i="1"/>
  <c r="N58" i="1"/>
  <c r="N342" i="1"/>
  <c r="N347" i="1"/>
  <c r="N76" i="1"/>
  <c r="N289" i="1"/>
  <c r="N291" i="1"/>
  <c r="N224" i="1"/>
  <c r="N280" i="1"/>
  <c r="N286" i="1"/>
  <c r="N83" i="1"/>
  <c r="N92" i="1"/>
  <c r="N71" i="1"/>
  <c r="N155" i="1"/>
  <c r="N294" i="1"/>
  <c r="N97" i="1"/>
  <c r="N235" i="1"/>
  <c r="N239" i="1"/>
  <c r="N296" i="1"/>
  <c r="N233" i="1"/>
  <c r="N102" i="1"/>
  <c r="N307" i="1"/>
  <c r="N110" i="1"/>
  <c r="N315" i="1"/>
  <c r="N321" i="1"/>
  <c r="N41" i="1"/>
  <c r="N43" i="1"/>
  <c r="N124" i="1"/>
  <c r="N193" i="1"/>
  <c r="N53" i="1"/>
  <c r="N201" i="1"/>
  <c r="N204" i="1"/>
  <c r="N207" i="1"/>
  <c r="N111" i="1"/>
  <c r="N316" i="1"/>
  <c r="N250" i="1"/>
  <c r="N185" i="1"/>
  <c r="N189" i="1"/>
  <c r="N126" i="1"/>
  <c r="N196" i="1"/>
  <c r="N273" i="1"/>
  <c r="N65" i="1"/>
  <c r="N297" i="1"/>
  <c r="N99" i="1"/>
  <c r="N304" i="1"/>
  <c r="N17" i="1"/>
  <c r="N171" i="1"/>
  <c r="N174" i="1"/>
  <c r="N31" i="1"/>
  <c r="N323" i="1"/>
  <c r="N118" i="1"/>
  <c r="N327" i="1"/>
  <c r="N264" i="1"/>
  <c r="N194" i="1"/>
  <c r="N129" i="1"/>
  <c r="N337" i="1"/>
  <c r="N66" i="1"/>
  <c r="N220" i="1"/>
  <c r="N230" i="1"/>
  <c r="N167" i="1"/>
  <c r="N14" i="1"/>
  <c r="N106" i="1"/>
  <c r="N177" i="1"/>
  <c r="N277" i="1"/>
  <c r="N210" i="1"/>
  <c r="N352" i="1"/>
  <c r="N355" i="1"/>
  <c r="N358" i="1"/>
  <c r="N158" i="1"/>
  <c r="N161" i="1"/>
  <c r="N144" i="1"/>
  <c r="N217" i="1"/>
  <c r="N91" i="1"/>
  <c r="N341" i="1"/>
  <c r="N78" i="1"/>
  <c r="N305" i="1"/>
  <c r="N312" i="1"/>
  <c r="N249" i="1"/>
  <c r="N322" i="1"/>
  <c r="N254" i="1"/>
  <c r="N188" i="1"/>
  <c r="N47" i="1"/>
  <c r="N331" i="1"/>
  <c r="N199" i="1"/>
  <c r="N62" i="1"/>
  <c r="N281" i="1"/>
  <c r="N211" i="1"/>
  <c r="N77" i="1"/>
  <c r="N215" i="1"/>
  <c r="N157" i="1"/>
  <c r="N225" i="1"/>
  <c r="N283" i="1"/>
  <c r="N146" i="1"/>
  <c r="N223" i="1"/>
  <c r="N61" i="1"/>
  <c r="N143" i="1"/>
  <c r="N293" i="1"/>
  <c r="R6" i="1" l="1"/>
  <c r="R5" i="1"/>
  <c r="R4" i="1"/>
  <c r="R7" i="1"/>
  <c r="R3" i="1"/>
  <c r="S3" i="1" l="1"/>
  <c r="S7" i="1"/>
  <c r="S4" i="1"/>
  <c r="S5" i="1"/>
  <c r="S6" i="1"/>
</calcChain>
</file>

<file path=xl/sharedStrings.xml><?xml version="1.0" encoding="utf-8"?>
<sst xmlns="http://schemas.openxmlformats.org/spreadsheetml/2006/main" count="4252" uniqueCount="769">
  <si>
    <t>Student</t>
  </si>
  <si>
    <t>ID</t>
  </si>
  <si>
    <t>SIS User ID</t>
  </si>
  <si>
    <t>SIS Login ID</t>
  </si>
  <si>
    <t>Root Account</t>
  </si>
  <si>
    <t>Section</t>
  </si>
  <si>
    <t>Problem Set 1 (129587)</t>
  </si>
  <si>
    <t>Problem Set 2 (125489)</t>
  </si>
  <si>
    <t>Problem Set 3 (125490)</t>
  </si>
  <si>
    <t>Final Exam  (125495)</t>
  </si>
  <si>
    <t xml:space="preserve">    Points Possible</t>
  </si>
  <si>
    <t>Agarwal, Abhishek</t>
  </si>
  <si>
    <t>aka39</t>
  </si>
  <si>
    <t>yale.instructure.com</t>
  </si>
  <si>
    <t>MGT 404 04</t>
  </si>
  <si>
    <t>Agarwal, Vibhav</t>
  </si>
  <si>
    <t>va256</t>
  </si>
  <si>
    <t>MGT 404 01</t>
  </si>
  <si>
    <t>Aggarwal, Abhishri</t>
  </si>
  <si>
    <t>aa2522</t>
  </si>
  <si>
    <t>MGT 404 05</t>
  </si>
  <si>
    <t>Ahn, Sungmin</t>
  </si>
  <si>
    <t>sa2236</t>
  </si>
  <si>
    <t>Alayli, Rana Abdulrahim</t>
  </si>
  <si>
    <t>ra659</t>
  </si>
  <si>
    <t>Almazan Pinedo, Arturo</t>
  </si>
  <si>
    <t>aa2484</t>
  </si>
  <si>
    <t>MGT 404 02</t>
  </si>
  <si>
    <t>Alon, Kfir</t>
  </si>
  <si>
    <t>ka527</t>
  </si>
  <si>
    <t>Alton, Jake</t>
  </si>
  <si>
    <t>jba53</t>
  </si>
  <si>
    <t>Arteaga-Caicedo, David</t>
  </si>
  <si>
    <t>da589</t>
  </si>
  <si>
    <t>Arya, Prashant</t>
  </si>
  <si>
    <t>pa357</t>
  </si>
  <si>
    <t>Aslam, Fazail</t>
  </si>
  <si>
    <t>fa344</t>
  </si>
  <si>
    <t>Auvinen, Eric</t>
  </si>
  <si>
    <t>ea523</t>
  </si>
  <si>
    <t>MGT 404 03</t>
  </si>
  <si>
    <t>Bader, Lindsay</t>
  </si>
  <si>
    <t>lb967</t>
  </si>
  <si>
    <t>Baker, Will</t>
  </si>
  <si>
    <t>wkb5</t>
  </si>
  <si>
    <t>Bandyopadhyay, Arkadeep</t>
  </si>
  <si>
    <t>ab3233</t>
  </si>
  <si>
    <t>Bao, Loc</t>
  </si>
  <si>
    <t>lb965</t>
  </si>
  <si>
    <t>Barbosa, Oscar</t>
  </si>
  <si>
    <t>ob242</t>
  </si>
  <si>
    <t>Barnard, Taylor</t>
  </si>
  <si>
    <t>tjb65</t>
  </si>
  <si>
    <t>Baron, Corey</t>
  </si>
  <si>
    <t>cmb278</t>
  </si>
  <si>
    <t>Baurley, Ariana</t>
  </si>
  <si>
    <t>aeb94</t>
  </si>
  <si>
    <t>Bell, Elena</t>
  </si>
  <si>
    <t>ecb69</t>
  </si>
  <si>
    <t>Ben Halim, Omar</t>
  </si>
  <si>
    <t>otb4</t>
  </si>
  <si>
    <t>Benner, Daniel</t>
  </si>
  <si>
    <t>db2334</t>
  </si>
  <si>
    <t>Berry, Marisa</t>
  </si>
  <si>
    <t>mab375</t>
  </si>
  <si>
    <t>Bill, Stephanie</t>
  </si>
  <si>
    <t>sdb69</t>
  </si>
  <si>
    <t>Bin Telimik, Izulman</t>
  </si>
  <si>
    <t>it92</t>
  </si>
  <si>
    <t>Blazuk, Andrew</t>
  </si>
  <si>
    <t>acb237</t>
  </si>
  <si>
    <t>Boakye, Emmanuel Osei</t>
  </si>
  <si>
    <t>eob7</t>
  </si>
  <si>
    <t>Bosch, Lukas</t>
  </si>
  <si>
    <t>lfb35</t>
  </si>
  <si>
    <t>Boyajian, Ann</t>
  </si>
  <si>
    <t>kam333</t>
  </si>
  <si>
    <t>Briggi, Danny</t>
  </si>
  <si>
    <t>db2263</t>
  </si>
  <si>
    <t>Britton, Rob</t>
  </si>
  <si>
    <t>rab247</t>
  </si>
  <si>
    <t>Brody, Clare</t>
  </si>
  <si>
    <t>cwb5</t>
  </si>
  <si>
    <t>Bruehl, Doug</t>
  </si>
  <si>
    <t>djb245</t>
  </si>
  <si>
    <t>Buari, Mayowa</t>
  </si>
  <si>
    <t>oob5</t>
  </si>
  <si>
    <t>Bull, Martha</t>
  </si>
  <si>
    <t>mlc238</t>
  </si>
  <si>
    <t>Burka, Jenn</t>
  </si>
  <si>
    <t>jsb239</t>
  </si>
  <si>
    <t>Burnette, Blake</t>
  </si>
  <si>
    <t>bjb78</t>
  </si>
  <si>
    <t>Byagari, Anu</t>
  </si>
  <si>
    <t>amb332</t>
  </si>
  <si>
    <t>Cai, Katherine</t>
  </si>
  <si>
    <t>kyc25</t>
  </si>
  <si>
    <t>Camponogara, Ivan</t>
  </si>
  <si>
    <t>ic326</t>
  </si>
  <si>
    <t>Carey, Elena</t>
  </si>
  <si>
    <t>ec838</t>
  </si>
  <si>
    <t>Carlson, Bill</t>
  </si>
  <si>
    <t>wc546</t>
  </si>
  <si>
    <t>Carlson, Ripley</t>
  </si>
  <si>
    <t>rjc83</t>
  </si>
  <si>
    <t>Carr, Ronan</t>
  </si>
  <si>
    <t>rcc53</t>
  </si>
  <si>
    <t>Chaba, Archit</t>
  </si>
  <si>
    <t>ac2869</t>
  </si>
  <si>
    <t>Chammas, Nadim</t>
  </si>
  <si>
    <t>nac57</t>
  </si>
  <si>
    <t>Chang, Julie</t>
  </si>
  <si>
    <t>hc739</t>
  </si>
  <si>
    <t>Charania, Nauman</t>
  </si>
  <si>
    <t>nc576</t>
  </si>
  <si>
    <t>Chen, Dao</t>
  </si>
  <si>
    <t>dc2246</t>
  </si>
  <si>
    <t>Chen, Grace</t>
  </si>
  <si>
    <t>lc999</t>
  </si>
  <si>
    <t>Chen, Melissa</t>
  </si>
  <si>
    <t>mc3278</t>
  </si>
  <si>
    <t>Cheng, Louis</t>
  </si>
  <si>
    <t>yc754</t>
  </si>
  <si>
    <t>Cho, Eun Sun</t>
  </si>
  <si>
    <t>ec856</t>
  </si>
  <si>
    <t>Choi, Derrick</t>
  </si>
  <si>
    <t>dcc56</t>
  </si>
  <si>
    <t>Chow, Shawn</t>
  </si>
  <si>
    <t>wc558</t>
  </si>
  <si>
    <t>Christiansen, David</t>
  </si>
  <si>
    <t>dlc94</t>
  </si>
  <si>
    <t>Cichon, Norbert</t>
  </si>
  <si>
    <t>nnc8</t>
  </si>
  <si>
    <t>Cisneros, Tony</t>
  </si>
  <si>
    <t>ac2764</t>
  </si>
  <si>
    <t>Corey, Mike</t>
  </si>
  <si>
    <t>mjc267</t>
  </si>
  <si>
    <t>Cotton, David</t>
  </si>
  <si>
    <t>dcc55</t>
  </si>
  <si>
    <t>Culkin, Madeline</t>
  </si>
  <si>
    <t>mec232</t>
  </si>
  <si>
    <t>D'Avila Melo Xavier de Brito, Alice</t>
  </si>
  <si>
    <t>ax34</t>
  </si>
  <si>
    <t>Dai, Tina</t>
  </si>
  <si>
    <t>md2289</t>
  </si>
  <si>
    <t>Dailey, Norina</t>
  </si>
  <si>
    <t>epd24</t>
  </si>
  <si>
    <t>Damant, Richard</t>
  </si>
  <si>
    <t>rhd25</t>
  </si>
  <si>
    <t>Danielson, Katherine</t>
  </si>
  <si>
    <t>ked59</t>
  </si>
  <si>
    <t>Darlin, Michael</t>
  </si>
  <si>
    <t>mdd39</t>
  </si>
  <si>
    <t>Das, Monica</t>
  </si>
  <si>
    <t>mkd44</t>
  </si>
  <si>
    <t>de Barros Carvalho Longo, Bruno</t>
  </si>
  <si>
    <t>bdl33</t>
  </si>
  <si>
    <t>de Oliveira Carvalho, Igor</t>
  </si>
  <si>
    <t>idc7</t>
  </si>
  <si>
    <t>DeMarco, Chelsea</t>
  </si>
  <si>
    <t>cd846</t>
  </si>
  <si>
    <t>Desai, Keval</t>
  </si>
  <si>
    <t>knd22</t>
  </si>
  <si>
    <t>Deshpande, Sumedh</t>
  </si>
  <si>
    <t>skd36</t>
  </si>
  <si>
    <t>Desien, Nick</t>
  </si>
  <si>
    <t>ncd37</t>
  </si>
  <si>
    <t>Desmond, Elizabeth</t>
  </si>
  <si>
    <t>ed542</t>
  </si>
  <si>
    <t>Diaz-Roa, Silvia</t>
  </si>
  <si>
    <t>sld74</t>
  </si>
  <si>
    <t>Ding, Alvina</t>
  </si>
  <si>
    <t>ad2399</t>
  </si>
  <si>
    <t>Disch, Logan</t>
  </si>
  <si>
    <t>lmd78</t>
  </si>
  <si>
    <t>Do, Vinh Khang</t>
  </si>
  <si>
    <t>vdd3</t>
  </si>
  <si>
    <t>Dolan, Elizabeth</t>
  </si>
  <si>
    <t>ejd48</t>
  </si>
  <si>
    <t>Doshi, Pooja</t>
  </si>
  <si>
    <t>prd26</t>
  </si>
  <si>
    <t>Dulthummon, Hemdeep Kumar</t>
  </si>
  <si>
    <t>hd348</t>
  </si>
  <si>
    <t>Dupee, David</t>
  </si>
  <si>
    <t>dkd9</t>
  </si>
  <si>
    <t>Ebinger, Caroline</t>
  </si>
  <si>
    <t>cre22</t>
  </si>
  <si>
    <t>Edelman, AJ</t>
  </si>
  <si>
    <t>aje46</t>
  </si>
  <si>
    <t>Egemenoglu, Rueya</t>
  </si>
  <si>
    <t>re324</t>
  </si>
  <si>
    <t>Eldridge, Dean</t>
  </si>
  <si>
    <t>de338</t>
  </si>
  <si>
    <t>Enriquez, Bryan</t>
  </si>
  <si>
    <t>be255</t>
  </si>
  <si>
    <t>Fadahunsi, Emmanuel Oyebanji</t>
  </si>
  <si>
    <t>ef522</t>
  </si>
  <si>
    <t>Fagan, Alaina</t>
  </si>
  <si>
    <t>amf246</t>
  </si>
  <si>
    <t>Faiz, Meraj</t>
  </si>
  <si>
    <t>maf239</t>
  </si>
  <si>
    <t>Falvey, Michael</t>
  </si>
  <si>
    <t>mff29</t>
  </si>
  <si>
    <t>FarÃ­as GutiÃ©rrez, Bernardo</t>
  </si>
  <si>
    <t>bf359</t>
  </si>
  <si>
    <t>Feliz, Kiara</t>
  </si>
  <si>
    <t>kf522</t>
  </si>
  <si>
    <t>Fenenbock, Alyssa</t>
  </si>
  <si>
    <t>af799</t>
  </si>
  <si>
    <t>Feng, Charlie</t>
  </si>
  <si>
    <t>csf27</t>
  </si>
  <si>
    <t>Feola, Mario</t>
  </si>
  <si>
    <t>mf885</t>
  </si>
  <si>
    <t>Frederick, Julia</t>
  </si>
  <si>
    <t>jkf43</t>
  </si>
  <si>
    <t>Freedman, Emily</t>
  </si>
  <si>
    <t>erf39</t>
  </si>
  <si>
    <t>Fuchs, Jake</t>
  </si>
  <si>
    <t>jbf54</t>
  </si>
  <si>
    <t>Fuerst, Zach</t>
  </si>
  <si>
    <t>jzf3</t>
  </si>
  <si>
    <t>Galang, Brandon</t>
  </si>
  <si>
    <t>bg539</t>
  </si>
  <si>
    <t>Gao, Golden</t>
  </si>
  <si>
    <t>gg545</t>
  </si>
  <si>
    <t>Gao, Muyan</t>
  </si>
  <si>
    <t>mg2654</t>
  </si>
  <si>
    <t>Garcia Gonzalez, Jean</t>
  </si>
  <si>
    <t>jcg89</t>
  </si>
  <si>
    <t>Gasiewska, Aneta</t>
  </si>
  <si>
    <t>ag2584</t>
  </si>
  <si>
    <t>Gilroy, Michelle</t>
  </si>
  <si>
    <t>meg225</t>
  </si>
  <si>
    <t>Glenn, Carey</t>
  </si>
  <si>
    <t>ccg47</t>
  </si>
  <si>
    <t>Goldberg, Jonathan</t>
  </si>
  <si>
    <t>jzg22</t>
  </si>
  <si>
    <t>Goldstein, Will</t>
  </si>
  <si>
    <t>wrg24</t>
  </si>
  <si>
    <t>Gong, Amy</t>
  </si>
  <si>
    <t>mg2666</t>
  </si>
  <si>
    <t>Gonzalez, Carmen</t>
  </si>
  <si>
    <t>cg872</t>
  </si>
  <si>
    <t>Gopal, Shruthi</t>
  </si>
  <si>
    <t>sg2353</t>
  </si>
  <si>
    <t>Governali, Charlie</t>
  </si>
  <si>
    <t>fcg4</t>
  </si>
  <si>
    <t>Grace-Flood, Liam</t>
  </si>
  <si>
    <t>lag49</t>
  </si>
  <si>
    <t>Gramelspacher, Joe</t>
  </si>
  <si>
    <t>jgg46</t>
  </si>
  <si>
    <t>Graves, Tony</t>
  </si>
  <si>
    <t>bg542</t>
  </si>
  <si>
    <t>Gress, Charles</t>
  </si>
  <si>
    <t>cjg75</t>
  </si>
  <si>
    <t>Gromer, Andrew</t>
  </si>
  <si>
    <t>adg56</t>
  </si>
  <si>
    <t>Gross, Sarah</t>
  </si>
  <si>
    <t>shg38</t>
  </si>
  <si>
    <t>Gu, Jeffrey</t>
  </si>
  <si>
    <t>jg2528</t>
  </si>
  <si>
    <t>Gupta, Akshit</t>
  </si>
  <si>
    <t>ag2569</t>
  </si>
  <si>
    <t>Gupta, Arpit</t>
  </si>
  <si>
    <t>ag2574</t>
  </si>
  <si>
    <t>Gupta, Shriya</t>
  </si>
  <si>
    <t>sg2347</t>
  </si>
  <si>
    <t>Gurjar, Madhura</t>
  </si>
  <si>
    <t>msg69</t>
  </si>
  <si>
    <t>Hallowell, Sarah</t>
  </si>
  <si>
    <t>sbh42</t>
  </si>
  <si>
    <t>Han, Chris</t>
  </si>
  <si>
    <t>crh45</t>
  </si>
  <si>
    <t>Han, Samman</t>
  </si>
  <si>
    <t>sh2477</t>
  </si>
  <si>
    <t>Hann, Caitlyn</t>
  </si>
  <si>
    <t>ch989</t>
  </si>
  <si>
    <t>Happ, Grace</t>
  </si>
  <si>
    <t>gl463</t>
  </si>
  <si>
    <t>Harris, Eric</t>
  </si>
  <si>
    <t>erh52</t>
  </si>
  <si>
    <t>Harwood, Blake</t>
  </si>
  <si>
    <t>bmh42</t>
  </si>
  <si>
    <t>Haydock, Ben</t>
  </si>
  <si>
    <t>brh37</t>
  </si>
  <si>
    <t>Haynes, Monique</t>
  </si>
  <si>
    <t>msh54</t>
  </si>
  <si>
    <t>Healy, Christina</t>
  </si>
  <si>
    <t>cah223</t>
  </si>
  <si>
    <t>Hegde, Aneil</t>
  </si>
  <si>
    <t>ash78</t>
  </si>
  <si>
    <t>Henriques, Stephen</t>
  </si>
  <si>
    <t>sh2479</t>
  </si>
  <si>
    <t>Hines, Daven</t>
  </si>
  <si>
    <t>dh763</t>
  </si>
  <si>
    <t>Hirashima, Shiro</t>
  </si>
  <si>
    <t>sh2467</t>
  </si>
  <si>
    <t>Hoffman, Andres</t>
  </si>
  <si>
    <t>aeh63</t>
  </si>
  <si>
    <t>Hofmann, Julia</t>
  </si>
  <si>
    <t>jah295</t>
  </si>
  <si>
    <t>Holvick, Carl</t>
  </si>
  <si>
    <t>cjh76</t>
  </si>
  <si>
    <t>Hosford, Audrey</t>
  </si>
  <si>
    <t>ahh42</t>
  </si>
  <si>
    <t>Hou, Yimin</t>
  </si>
  <si>
    <t>yh549</t>
  </si>
  <si>
    <t>Hsiang, Walter</t>
  </si>
  <si>
    <t>wrh23</t>
  </si>
  <si>
    <t>Huang, Billy</t>
  </si>
  <si>
    <t>bh498</t>
  </si>
  <si>
    <t>Huangfu, Xiying</t>
  </si>
  <si>
    <t>xh299</t>
  </si>
  <si>
    <t>Hum, Salina</t>
  </si>
  <si>
    <t>syh27</t>
  </si>
  <si>
    <t>Hurst, Parker</t>
  </si>
  <si>
    <t>ph477</t>
  </si>
  <si>
    <t>Hurvitz, Danny</t>
  </si>
  <si>
    <t>dh758</t>
  </si>
  <si>
    <t>Ilineni, Navya Rao</t>
  </si>
  <si>
    <t>ni49</t>
  </si>
  <si>
    <t>Irwin, Jane</t>
  </si>
  <si>
    <t>vi38</t>
  </si>
  <si>
    <t>Isakow, Ryan</t>
  </si>
  <si>
    <t>rsi5</t>
  </si>
  <si>
    <t>Jain, Arohi</t>
  </si>
  <si>
    <t>aj564</t>
  </si>
  <si>
    <t>Janani, Shivani</t>
  </si>
  <si>
    <t>sj648</t>
  </si>
  <si>
    <t>Jetley, Avnee</t>
  </si>
  <si>
    <t>aj567</t>
  </si>
  <si>
    <t>Jiang, Sam</t>
  </si>
  <si>
    <t>sj666</t>
  </si>
  <si>
    <t>Jimenez Bahena, Cesar</t>
  </si>
  <si>
    <t>caj52</t>
  </si>
  <si>
    <t>Johnson, Nicholas</t>
  </si>
  <si>
    <t>nj259</t>
  </si>
  <si>
    <t>Jones, Eli</t>
  </si>
  <si>
    <t>ebj29</t>
  </si>
  <si>
    <t>Jung, Austin</t>
  </si>
  <si>
    <t>aj568</t>
  </si>
  <si>
    <t>Kacyem, Lina</t>
  </si>
  <si>
    <t>lgk7</t>
  </si>
  <si>
    <t>Kamematsu, Shohei</t>
  </si>
  <si>
    <t>sk2769</t>
  </si>
  <si>
    <t>Kanca, Dilara</t>
  </si>
  <si>
    <t>zdk2</t>
  </si>
  <si>
    <t>Kang, Jennifer</t>
  </si>
  <si>
    <t>hk632</t>
  </si>
  <si>
    <t>Kang, Yoyoung</t>
  </si>
  <si>
    <t>yk564</t>
  </si>
  <si>
    <t>Kapila, Vahini Menon</t>
  </si>
  <si>
    <t>vk297</t>
  </si>
  <si>
    <t>Kapkoi, Ivan</t>
  </si>
  <si>
    <t>ink6</t>
  </si>
  <si>
    <t>Kapur, Divya</t>
  </si>
  <si>
    <t>dk796</t>
  </si>
  <si>
    <t>Kar, Shritilekha</t>
  </si>
  <si>
    <t>sk2746</t>
  </si>
  <si>
    <t>Kaufman, Peter</t>
  </si>
  <si>
    <t>pjk3</t>
  </si>
  <si>
    <t>Kazi, Mikhail</t>
  </si>
  <si>
    <t>mak238</t>
  </si>
  <si>
    <t>Keefe, Kathleen</t>
  </si>
  <si>
    <t>kmk228</t>
  </si>
  <si>
    <t>Keim, David</t>
  </si>
  <si>
    <t>dmk78</t>
  </si>
  <si>
    <t>Kim, Soojin</t>
  </si>
  <si>
    <t>sk2749</t>
  </si>
  <si>
    <t>Kling, Emily</t>
  </si>
  <si>
    <t>eak72</t>
  </si>
  <si>
    <t>Kumar, Balaji Vignesh</t>
  </si>
  <si>
    <t>bk557</t>
  </si>
  <si>
    <t>Kumar, Swapna</t>
  </si>
  <si>
    <t>sk2777</t>
  </si>
  <si>
    <t>Kurber, Dan</t>
  </si>
  <si>
    <t>dkk8</t>
  </si>
  <si>
    <t>Kusell-Zigelman, Edward</t>
  </si>
  <si>
    <t>emk56</t>
  </si>
  <si>
    <t>Kwan, Patricia</t>
  </si>
  <si>
    <t>pmk36</t>
  </si>
  <si>
    <t>Lambert, Leslie</t>
  </si>
  <si>
    <t>lsl36</t>
  </si>
  <si>
    <t>Lambrinatos, Jerry</t>
  </si>
  <si>
    <t>jsl83</t>
  </si>
  <si>
    <t>Langbein, Jake</t>
  </si>
  <si>
    <t>jml336</t>
  </si>
  <si>
    <t>Law, Carrie</t>
  </si>
  <si>
    <t>cl2286</t>
  </si>
  <si>
    <t>Lee, Hyeondong</t>
  </si>
  <si>
    <t>hl772</t>
  </si>
  <si>
    <t>Leong, Tiffany</t>
  </si>
  <si>
    <t>tl623</t>
  </si>
  <si>
    <t>Lerner, Noah</t>
  </si>
  <si>
    <t>nml33</t>
  </si>
  <si>
    <t>Leung, Eva</t>
  </si>
  <si>
    <t>yl2354</t>
  </si>
  <si>
    <t>Levine, Sam</t>
  </si>
  <si>
    <t>spl28</t>
  </si>
  <si>
    <t>Lewandowski, Skylar</t>
  </si>
  <si>
    <t>sl2655</t>
  </si>
  <si>
    <t>Lewis, Christian</t>
  </si>
  <si>
    <t>cwl42</t>
  </si>
  <si>
    <t>Li, Jessie</t>
  </si>
  <si>
    <t>xl557</t>
  </si>
  <si>
    <t>Liang, Alley</t>
  </si>
  <si>
    <t>xl563</t>
  </si>
  <si>
    <t>Licea Perez, Oscar</t>
  </si>
  <si>
    <t>oal7</t>
  </si>
  <si>
    <t>Lievano Carvajal, Alejandro</t>
  </si>
  <si>
    <t>jal296</t>
  </si>
  <si>
    <t>Ligon, Nina</t>
  </si>
  <si>
    <t>nrl32</t>
  </si>
  <si>
    <t>Lin-Shiu, Andres</t>
  </si>
  <si>
    <t>al2458</t>
  </si>
  <si>
    <t>Liu, Siyu</t>
  </si>
  <si>
    <t>sl2635</t>
  </si>
  <si>
    <t>Louza, Nai</t>
  </si>
  <si>
    <t>nnl6</t>
  </si>
  <si>
    <t>Lu, Zheng</t>
  </si>
  <si>
    <t>zl466</t>
  </si>
  <si>
    <t>Lubiak, Liz</t>
  </si>
  <si>
    <t>erl43</t>
  </si>
  <si>
    <t>Lui, Gillian</t>
  </si>
  <si>
    <t>gvl6</t>
  </si>
  <si>
    <t>Luik, Lisett</t>
  </si>
  <si>
    <t>ll867</t>
  </si>
  <si>
    <t>Luo, Sally</t>
  </si>
  <si>
    <t>sl2652</t>
  </si>
  <si>
    <t>Lynn, Emily</t>
  </si>
  <si>
    <t>ell37</t>
  </si>
  <si>
    <t>Ma, Harmony</t>
  </si>
  <si>
    <t>hm497</t>
  </si>
  <si>
    <t>MacGibbon, James</t>
  </si>
  <si>
    <t>jem284</t>
  </si>
  <si>
    <t>Madden, Drew</t>
  </si>
  <si>
    <t>ddm44</t>
  </si>
  <si>
    <t>Madhavan, Anshula</t>
  </si>
  <si>
    <t>am3454</t>
  </si>
  <si>
    <t>Maliki Reddy, Padmaja</t>
  </si>
  <si>
    <t>pm748</t>
  </si>
  <si>
    <t>Mapp, Nick</t>
  </si>
  <si>
    <t>njm53</t>
  </si>
  <si>
    <t>Marquart, Katharina</t>
  </si>
  <si>
    <t>kam332</t>
  </si>
  <si>
    <t>Martinez, Eric</t>
  </si>
  <si>
    <t>em925</t>
  </si>
  <si>
    <t>Matyja-Sanetra, Agnieszka</t>
  </si>
  <si>
    <t>ajm268</t>
  </si>
  <si>
    <t>McGovern, Patrick</t>
  </si>
  <si>
    <t>pwm24</t>
  </si>
  <si>
    <t>Mehta, Nishi</t>
  </si>
  <si>
    <t>nm689</t>
  </si>
  <si>
    <t>Melvin, Quin</t>
  </si>
  <si>
    <t>qcm3</t>
  </si>
  <si>
    <t>Miller, Jon</t>
  </si>
  <si>
    <t>jrm267</t>
  </si>
  <si>
    <t>Miller, Teddy</t>
  </si>
  <si>
    <t>tbm28</t>
  </si>
  <si>
    <t>Millham, Sam</t>
  </si>
  <si>
    <t>spm59</t>
  </si>
  <si>
    <t>Mitchell, Jonathan</t>
  </si>
  <si>
    <t>jsm96</t>
  </si>
  <si>
    <t>Mittal, Akash</t>
  </si>
  <si>
    <t>akm68</t>
  </si>
  <si>
    <t>Mohapatra, Suneet</t>
  </si>
  <si>
    <t>srm79</t>
  </si>
  <si>
    <t>Monge Kaser, Samantha</t>
  </si>
  <si>
    <t>slm86</t>
  </si>
  <si>
    <t>Moore, George</t>
  </si>
  <si>
    <t>gmm64</t>
  </si>
  <si>
    <t>Morales, Robert</t>
  </si>
  <si>
    <t>rm2433</t>
  </si>
  <si>
    <t>Moskowitz, Leighton</t>
  </si>
  <si>
    <t>lm994</t>
  </si>
  <si>
    <t>Moss, Hil</t>
  </si>
  <si>
    <t>hjm43</t>
  </si>
  <si>
    <t>Moyo, Nomawethu</t>
  </si>
  <si>
    <t>nm649</t>
  </si>
  <si>
    <t>Mullen, Tony</t>
  </si>
  <si>
    <t>ajm258</t>
  </si>
  <si>
    <t>Munoz, Ruben</t>
  </si>
  <si>
    <t>rm2456</t>
  </si>
  <si>
    <t>Murali, Adhi</t>
  </si>
  <si>
    <t>am3426</t>
  </si>
  <si>
    <t>Murray, Dylan</t>
  </si>
  <si>
    <t>jdm254</t>
  </si>
  <si>
    <t>Nagori, Akshat</t>
  </si>
  <si>
    <t>apn6</t>
  </si>
  <si>
    <t>Najarian, Mary</t>
  </si>
  <si>
    <t>mnn23</t>
  </si>
  <si>
    <t>Nakata, Pemika</t>
  </si>
  <si>
    <t>pn259</t>
  </si>
  <si>
    <t>Nelson, Ezra</t>
  </si>
  <si>
    <t>en296</t>
  </si>
  <si>
    <t>Nelson, Jack</t>
  </si>
  <si>
    <t>jrn29</t>
  </si>
  <si>
    <t>Nicholas, Frederic</t>
  </si>
  <si>
    <t>fon2</t>
  </si>
  <si>
    <t>Niikura, Takafumi</t>
  </si>
  <si>
    <t>tn328</t>
  </si>
  <si>
    <t>Nitikitpaiboon, Panyapat</t>
  </si>
  <si>
    <t>pn256</t>
  </si>
  <si>
    <t>Noronha, Neil</t>
  </si>
  <si>
    <t>njn25</t>
  </si>
  <si>
    <t>Obrzut, Klaudia</t>
  </si>
  <si>
    <t>keo36</t>
  </si>
  <si>
    <t>Ohkubo, Tako</t>
  </si>
  <si>
    <t>to73</t>
  </si>
  <si>
    <t>Okafor, Jon</t>
  </si>
  <si>
    <t>jo474</t>
  </si>
  <si>
    <t>Olarinde, Emmanuel</t>
  </si>
  <si>
    <t>eoo4</t>
  </si>
  <si>
    <t>Ong, Katrina</t>
  </si>
  <si>
    <t>ko385</t>
  </si>
  <si>
    <t>Orchingwa, Uzoma</t>
  </si>
  <si>
    <t>uo23</t>
  </si>
  <si>
    <t>Ordonez Ortiz, Diego</t>
  </si>
  <si>
    <t>dao37</t>
  </si>
  <si>
    <t>Ormsby, Peter</t>
  </si>
  <si>
    <t>pxo2</t>
  </si>
  <si>
    <t>Owens, Eloise</t>
  </si>
  <si>
    <t>eo283</t>
  </si>
  <si>
    <t>Pan, Eric</t>
  </si>
  <si>
    <t>ep573</t>
  </si>
  <si>
    <t>Park, Iris</t>
  </si>
  <si>
    <t>ihp4</t>
  </si>
  <si>
    <t>Paul, Pradyut</t>
  </si>
  <si>
    <t>pp525</t>
  </si>
  <si>
    <t>Pellakuru, Chak</t>
  </si>
  <si>
    <t>cp843</t>
  </si>
  <si>
    <t>Peranzi, Nick</t>
  </si>
  <si>
    <t>njp37</t>
  </si>
  <si>
    <t>Perkins, Chris</t>
  </si>
  <si>
    <t>cp839</t>
  </si>
  <si>
    <t>Petersen, Grant</t>
  </si>
  <si>
    <t>ghp7</t>
  </si>
  <si>
    <t>Pitaksit, Max</t>
  </si>
  <si>
    <t>wp265</t>
  </si>
  <si>
    <t>Portocarrero Neyra, Manuel</t>
  </si>
  <si>
    <t>mp2456</t>
  </si>
  <si>
    <t>Posada Toro, Nicolas</t>
  </si>
  <si>
    <t>np539</t>
  </si>
  <si>
    <t>Price, Reilly</t>
  </si>
  <si>
    <t>rap75</t>
  </si>
  <si>
    <t>Puglia, Alejandro</t>
  </si>
  <si>
    <t>aep64</t>
  </si>
  <si>
    <t>Ra, Thu</t>
  </si>
  <si>
    <t>tr394</t>
  </si>
  <si>
    <t>Rajashekar, Janani</t>
  </si>
  <si>
    <t>jhr44</t>
  </si>
  <si>
    <t>Rampl, Isabella</t>
  </si>
  <si>
    <t>iwr2</t>
  </si>
  <si>
    <t>Rao, Snigdha</t>
  </si>
  <si>
    <t>sar228</t>
  </si>
  <si>
    <t>Reddy, David</t>
  </si>
  <si>
    <t>dar85</t>
  </si>
  <si>
    <t>Revering, Stephanie</t>
  </si>
  <si>
    <t>smr94</t>
  </si>
  <si>
    <t>Reyes Calzada, Fernanda</t>
  </si>
  <si>
    <t>mfr52</t>
  </si>
  <si>
    <t>Ruggiero, Jackie</t>
  </si>
  <si>
    <t>jmr277</t>
  </si>
  <si>
    <t>Santolucito, Fiona</t>
  </si>
  <si>
    <t>fps9</t>
  </si>
  <si>
    <t>Saraswati, Tessa</t>
  </si>
  <si>
    <t>tps39</t>
  </si>
  <si>
    <t>Sazanska, Olena</t>
  </si>
  <si>
    <t>os248</t>
  </si>
  <si>
    <t>Schefter, Michelle</t>
  </si>
  <si>
    <t>ms3842</t>
  </si>
  <si>
    <t>Scott, Sidney</t>
  </si>
  <si>
    <t>ss3785</t>
  </si>
  <si>
    <t>Selden, Ben</t>
  </si>
  <si>
    <t>bs899</t>
  </si>
  <si>
    <t>Sen, Isabel</t>
  </si>
  <si>
    <t>ims43</t>
  </si>
  <si>
    <t>Senanayake, Tony</t>
  </si>
  <si>
    <t>ams366</t>
  </si>
  <si>
    <t>Shachter, Naomi</t>
  </si>
  <si>
    <t>ns827</t>
  </si>
  <si>
    <t>Shah, Anushi</t>
  </si>
  <si>
    <t>ars227</t>
  </si>
  <si>
    <t>Shapiro, Michael</t>
  </si>
  <si>
    <t>ms3739</t>
  </si>
  <si>
    <t>Shapiro, Scott</t>
  </si>
  <si>
    <t>sas328</t>
  </si>
  <si>
    <t>Sharma, Vipul</t>
  </si>
  <si>
    <t>vs427</t>
  </si>
  <si>
    <t>Shi, Gary</t>
  </si>
  <si>
    <t>fs428</t>
  </si>
  <si>
    <t>Shi, Hui</t>
  </si>
  <si>
    <t>hs826</t>
  </si>
  <si>
    <t>Shimamoto, Kirk</t>
  </si>
  <si>
    <t>kas283</t>
  </si>
  <si>
    <t>Shun, Maggie</t>
  </si>
  <si>
    <t>ms3852</t>
  </si>
  <si>
    <t>Silverthorne, Jonathan</t>
  </si>
  <si>
    <t>js3774</t>
  </si>
  <si>
    <t>Singh, Arpit</t>
  </si>
  <si>
    <t>as3763</t>
  </si>
  <si>
    <t>Soler, Max</t>
  </si>
  <si>
    <t>ms3835</t>
  </si>
  <si>
    <t>Solorzano Picasso, Giancarlo</t>
  </si>
  <si>
    <t>gs682</t>
  </si>
  <si>
    <t>Solotke, Michael</t>
  </si>
  <si>
    <t>mts3</t>
  </si>
  <si>
    <t>Somlo, Diane</t>
  </si>
  <si>
    <t>ds838</t>
  </si>
  <si>
    <t>Sorathia, Romil</t>
  </si>
  <si>
    <t>rs2587</t>
  </si>
  <si>
    <t>Stolzenberg, Stephen</t>
  </si>
  <si>
    <t>ss3895</t>
  </si>
  <si>
    <t>Storrs, Ben</t>
  </si>
  <si>
    <t>bms68</t>
  </si>
  <si>
    <t>Strohmann, Christina</t>
  </si>
  <si>
    <t>chs65</t>
  </si>
  <si>
    <t>Styer, Christina</t>
  </si>
  <si>
    <t>cs2728</t>
  </si>
  <si>
    <t>Su, Michelle</t>
  </si>
  <si>
    <t>ms3855</t>
  </si>
  <si>
    <t>Suarez Torres, Harold</t>
  </si>
  <si>
    <t>has59</t>
  </si>
  <si>
    <t>Sumino, Eiko</t>
  </si>
  <si>
    <t>ew527</t>
  </si>
  <si>
    <t>Sun, Lucy</t>
  </si>
  <si>
    <t>js3927</t>
  </si>
  <si>
    <t>Suo, Lu</t>
  </si>
  <si>
    <t>ls2285</t>
  </si>
  <si>
    <t>Taselaar, Amanda</t>
  </si>
  <si>
    <t>ast52</t>
  </si>
  <si>
    <t>Thew, Alex</t>
  </si>
  <si>
    <t>jat84</t>
  </si>
  <si>
    <t>Thompson, Annick</t>
  </si>
  <si>
    <t>at893</t>
  </si>
  <si>
    <t>Thompson, Sarah</t>
  </si>
  <si>
    <t>slt54</t>
  </si>
  <si>
    <t>Tisder, Kym</t>
  </si>
  <si>
    <t>kmt54</t>
  </si>
  <si>
    <t>Tomer, Asaf</t>
  </si>
  <si>
    <t>at892</t>
  </si>
  <si>
    <t>Tormo PruÃ±onosa, Salva</t>
  </si>
  <si>
    <t>sjt57</t>
  </si>
  <si>
    <t>Trinh, Mimi</t>
  </si>
  <si>
    <t>tvt7</t>
  </si>
  <si>
    <t>Troein, Anna</t>
  </si>
  <si>
    <t>ajt54</t>
  </si>
  <si>
    <t>Ukwuegbu, Chijioke</t>
  </si>
  <si>
    <t>cau7</t>
  </si>
  <si>
    <t>Unal, Furkan</t>
  </si>
  <si>
    <t>fku2</t>
  </si>
  <si>
    <t>Van Wyk, Leon</t>
  </si>
  <si>
    <t>lv294</t>
  </si>
  <si>
    <t>Veidenheimer, Ian</t>
  </si>
  <si>
    <t>icv5</t>
  </si>
  <si>
    <t>Villa, Raul</t>
  </si>
  <si>
    <t>rv349</t>
  </si>
  <si>
    <t>Wagner, Emily</t>
  </si>
  <si>
    <t>ekw26</t>
  </si>
  <si>
    <t>Wang, ChiChi</t>
  </si>
  <si>
    <t>tw564</t>
  </si>
  <si>
    <t>Wang, Cici</t>
  </si>
  <si>
    <t>xw235</t>
  </si>
  <si>
    <t>Wang, Jimmy</t>
  </si>
  <si>
    <t>jw2649</t>
  </si>
  <si>
    <t>Wang, Nathan</t>
  </si>
  <si>
    <t>nw344</t>
  </si>
  <si>
    <t>Wang, Yuan</t>
  </si>
  <si>
    <t>yw723</t>
  </si>
  <si>
    <t>Warren, Michael</t>
  </si>
  <si>
    <t>mhw34</t>
  </si>
  <si>
    <t>Wayne, Stephanie</t>
  </si>
  <si>
    <t>svw8</t>
  </si>
  <si>
    <t>Wei, Lona</t>
  </si>
  <si>
    <t>jw2663</t>
  </si>
  <si>
    <t>Wei, Yaner</t>
  </si>
  <si>
    <t>yw687</t>
  </si>
  <si>
    <t>Weinrib, Doug</t>
  </si>
  <si>
    <t>djw73</t>
  </si>
  <si>
    <t>Weiss, Max</t>
  </si>
  <si>
    <t>mw985</t>
  </si>
  <si>
    <t>Willess, Brent</t>
  </si>
  <si>
    <t>bw496</t>
  </si>
  <si>
    <t>Williams, Owen</t>
  </si>
  <si>
    <t>ow37</t>
  </si>
  <si>
    <t>Windham-Herman, Marley</t>
  </si>
  <si>
    <t>aw736</t>
  </si>
  <si>
    <t>Wolfram, Wyatt</t>
  </si>
  <si>
    <t>cww32</t>
  </si>
  <si>
    <t>Wood, Laura</t>
  </si>
  <si>
    <t>law75</t>
  </si>
  <si>
    <t>Wu, Denglin</t>
  </si>
  <si>
    <t>dw679</t>
  </si>
  <si>
    <t>Xie, Benjamin</t>
  </si>
  <si>
    <t>bx63</t>
  </si>
  <si>
    <t>Xu, Allen</t>
  </si>
  <si>
    <t>ayx3</t>
  </si>
  <si>
    <t>Yacobucci, James</t>
  </si>
  <si>
    <t>jey22</t>
  </si>
  <si>
    <t>Yamada, Cory</t>
  </si>
  <si>
    <t>cky6</t>
  </si>
  <si>
    <t>Yan, Gary</t>
  </si>
  <si>
    <t>ghy2</t>
  </si>
  <si>
    <t>Yan, Shannon</t>
  </si>
  <si>
    <t>wy239</t>
  </si>
  <si>
    <t>Yazarov, Maxim</t>
  </si>
  <si>
    <t>my397</t>
  </si>
  <si>
    <t>Ye, Emma</t>
  </si>
  <si>
    <t>my377</t>
  </si>
  <si>
    <t>Yeh, Helen</t>
  </si>
  <si>
    <t>hy347</t>
  </si>
  <si>
    <t>Young, Lee</t>
  </si>
  <si>
    <t>ly293</t>
  </si>
  <si>
    <t>Yu, Alice</t>
  </si>
  <si>
    <t>gy92</t>
  </si>
  <si>
    <t>Yu, Tuo</t>
  </si>
  <si>
    <t>ty269</t>
  </si>
  <si>
    <t>Zackin, Michelle</t>
  </si>
  <si>
    <t>mtz6</t>
  </si>
  <si>
    <t>Zeng, Cheng</t>
  </si>
  <si>
    <t>cz352</t>
  </si>
  <si>
    <t>Zhai, JunQi</t>
  </si>
  <si>
    <t>jz723</t>
  </si>
  <si>
    <t>Zhang, Amber</t>
  </si>
  <si>
    <t>cz356</t>
  </si>
  <si>
    <t>Zhang, Jia</t>
  </si>
  <si>
    <t>jz695</t>
  </si>
  <si>
    <t>Zhao, Jack</t>
  </si>
  <si>
    <t>oz4</t>
  </si>
  <si>
    <t>Zhou, Shengshun</t>
  </si>
  <si>
    <t>sz428</t>
  </si>
  <si>
    <t>Zinser Peniche, Juan Pablo</t>
  </si>
  <si>
    <t>jz693</t>
  </si>
  <si>
    <t>Student, Test</t>
  </si>
  <si>
    <t>1174004151d37fa8b5de0de544fbcc8528f69e37</t>
  </si>
  <si>
    <t>MGT 404 01, MGT 404 02, MGT 404 03, MGT 404 04, and MGT 404 05</t>
  </si>
  <si>
    <t>Short Answer (Out of 10)</t>
  </si>
  <si>
    <t>Long Answer</t>
  </si>
  <si>
    <t>TOTAL</t>
  </si>
  <si>
    <t>Second Year</t>
  </si>
  <si>
    <t>Q1</t>
  </si>
  <si>
    <t>Q2</t>
  </si>
  <si>
    <t>Q3</t>
  </si>
  <si>
    <t>Q4</t>
  </si>
  <si>
    <t>Q5</t>
  </si>
  <si>
    <t>Q6</t>
  </si>
  <si>
    <t>Q1 (16)</t>
  </si>
  <si>
    <t>Q2 (16)</t>
  </si>
  <si>
    <t>Q3 (16)</t>
  </si>
  <si>
    <t>Q4 (16)</t>
  </si>
  <si>
    <t>Q5 (16)</t>
  </si>
  <si>
    <t>Q6 (25)</t>
  </si>
  <si>
    <t>Q7 (15)</t>
  </si>
  <si>
    <t>Participation</t>
  </si>
  <si>
    <t>Final</t>
  </si>
  <si>
    <t>mean</t>
  </si>
  <si>
    <t>median</t>
  </si>
  <si>
    <t>Final (No NA)</t>
  </si>
  <si>
    <t>HH</t>
  </si>
  <si>
    <t>H</t>
  </si>
  <si>
    <t>PR</t>
  </si>
  <si>
    <t>P</t>
  </si>
  <si>
    <t>Min Score</t>
  </si>
  <si>
    <t>Grade</t>
  </si>
  <si>
    <t>Count</t>
  </si>
  <si>
    <t>Pct</t>
  </si>
  <si>
    <t>F</t>
  </si>
  <si>
    <t>Missing Exam Scores:</t>
  </si>
  <si>
    <t>mean-3sd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</si>
</sst>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Roboto"/>
    </font>
    <font>
      <u/>
      <sz val="11"/>
      <color theme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44">
    <xf numFmtId="0" fontId="0" fillId="0" borderId="0" xfId="0"/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horizontal="center" wrapText="1"/>
    </xf>
    <xf numFmtId="0" fontId="18" fillId="33" borderId="10" xfId="0" applyFont="1" applyFill="1" applyBorder="1" applyAlignment="1">
      <alignment wrapText="1"/>
    </xf>
    <xf numFmtId="0" fontId="20" fillId="33" borderId="10" xfId="0" applyFont="1" applyFill="1" applyBorder="1" applyAlignment="1">
      <alignment horizontal="right" wrapText="1"/>
    </xf>
    <xf numFmtId="0" fontId="20" fillId="33" borderId="10" xfId="0" applyFont="1" applyFill="1" applyBorder="1" applyAlignment="1">
      <alignment wrapText="1"/>
    </xf>
    <xf numFmtId="0" fontId="22" fillId="33" borderId="10" xfId="43" applyFill="1" applyBorder="1" applyAlignment="1">
      <alignment wrapText="1"/>
    </xf>
    <xf numFmtId="0" fontId="18" fillId="33" borderId="10" xfId="0" applyFont="1" applyFill="1" applyBorder="1" applyAlignment="1">
      <alignment horizontal="right" wrapText="1"/>
    </xf>
    <xf numFmtId="0" fontId="18" fillId="33" borderId="14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horizontal="right" wrapText="1"/>
    </xf>
    <xf numFmtId="0" fontId="22" fillId="34" borderId="10" xfId="43" applyFill="1" applyBorder="1" applyAlignment="1">
      <alignment wrapText="1"/>
    </xf>
    <xf numFmtId="0" fontId="18" fillId="34" borderId="14" xfId="0" applyFont="1" applyFill="1" applyBorder="1" applyAlignment="1">
      <alignment wrapText="1"/>
    </xf>
    <xf numFmtId="0" fontId="18" fillId="34" borderId="10" xfId="0" applyFont="1" applyFill="1" applyBorder="1" applyAlignment="1">
      <alignment horizontal="right" wrapText="1"/>
    </xf>
    <xf numFmtId="0" fontId="18" fillId="35" borderId="10" xfId="0" applyFont="1" applyFill="1" applyBorder="1" applyAlignment="1">
      <alignment wrapText="1"/>
    </xf>
    <xf numFmtId="0" fontId="20" fillId="35" borderId="10" xfId="0" applyFont="1" applyFill="1" applyBorder="1" applyAlignment="1">
      <alignment horizontal="right" wrapText="1"/>
    </xf>
    <xf numFmtId="0" fontId="22" fillId="35" borderId="10" xfId="43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0" fontId="18" fillId="35" borderId="14" xfId="0" applyFont="1" applyFill="1" applyBorder="1" applyAlignment="1">
      <alignment horizontal="right" wrapText="1"/>
    </xf>
    <xf numFmtId="0" fontId="18" fillId="36" borderId="10" xfId="0" applyFont="1" applyFill="1" applyBorder="1" applyAlignment="1">
      <alignment horizontal="right" wrapText="1"/>
    </xf>
    <xf numFmtId="0" fontId="18" fillId="37" borderId="10" xfId="0" applyFont="1" applyFill="1" applyBorder="1" applyAlignment="1">
      <alignment horizontal="right" wrapText="1"/>
    </xf>
    <xf numFmtId="0" fontId="18" fillId="38" borderId="10" xfId="0" applyFont="1" applyFill="1" applyBorder="1" applyAlignment="1">
      <alignment wrapText="1"/>
    </xf>
    <xf numFmtId="0" fontId="20" fillId="38" borderId="10" xfId="0" applyFont="1" applyFill="1" applyBorder="1" applyAlignment="1">
      <alignment horizontal="right" wrapText="1"/>
    </xf>
    <xf numFmtId="0" fontId="20" fillId="38" borderId="10" xfId="0" applyFont="1" applyFill="1" applyBorder="1" applyAlignment="1">
      <alignment wrapText="1"/>
    </xf>
    <xf numFmtId="0" fontId="22" fillId="38" borderId="10" xfId="43" applyFill="1" applyBorder="1" applyAlignment="1">
      <alignment wrapText="1"/>
    </xf>
    <xf numFmtId="0" fontId="18" fillId="38" borderId="10" xfId="0" applyFont="1" applyFill="1" applyBorder="1" applyAlignment="1">
      <alignment horizontal="right" wrapText="1"/>
    </xf>
    <xf numFmtId="0" fontId="18" fillId="38" borderId="14" xfId="0" applyFont="1" applyFill="1" applyBorder="1" applyAlignment="1">
      <alignment horizontal="right" wrapText="1"/>
    </xf>
    <xf numFmtId="0" fontId="21" fillId="38" borderId="10" xfId="0" applyFont="1" applyFill="1" applyBorder="1" applyAlignment="1">
      <alignment horizontal="right" wrapText="1"/>
    </xf>
    <xf numFmtId="0" fontId="21" fillId="35" borderId="10" xfId="0" applyFont="1" applyFill="1" applyBorder="1" applyAlignment="1">
      <alignment horizontal="right" wrapText="1"/>
    </xf>
    <xf numFmtId="0" fontId="18" fillId="38" borderId="10" xfId="0" applyFont="1" applyFill="1" applyBorder="1" applyAlignment="1">
      <alignment horizontal="center" wrapText="1"/>
    </xf>
    <xf numFmtId="0" fontId="18" fillId="38" borderId="14" xfId="0" applyFont="1" applyFill="1" applyBorder="1" applyAlignment="1">
      <alignment horizontal="center" wrapText="1"/>
    </xf>
    <xf numFmtId="0" fontId="19" fillId="38" borderId="10" xfId="0" applyFont="1" applyFill="1" applyBorder="1" applyAlignment="1">
      <alignment horizontal="center" wrapText="1"/>
    </xf>
    <xf numFmtId="0" fontId="18" fillId="0" borderId="14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18" fillId="0" borderId="14" xfId="0" applyFont="1" applyBorder="1" applyAlignment="1">
      <alignment horizontal="right" wrapText="1"/>
    </xf>
    <xf numFmtId="9" fontId="18" fillId="0" borderId="10" xfId="0" applyNumberFormat="1" applyFont="1" applyBorder="1" applyAlignment="1">
      <alignment horizontal="right" wrapText="1"/>
    </xf>
    <xf numFmtId="9" fontId="18" fillId="0" borderId="14" xfId="0" applyNumberFormat="1" applyFont="1" applyBorder="1" applyAlignment="1">
      <alignment horizontal="right" wrapText="1"/>
    </xf>
    <xf numFmtId="164" fontId="0" fillId="0" borderId="0" xfId="1" applyNumberFormat="1" applyFont="1"/>
    <xf numFmtId="165" fontId="0" fillId="0" borderId="0" xfId="0" applyNumberFormat="1"/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15" xfId="0" applyFont="1" applyBorder="1" applyAlignment="1">
      <alignment horizontal="center" wrapText="1"/>
    </xf>
    <xf numFmtId="2" fontId="0" fillId="0" borderId="0" xfId="0" applyNumberForma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yale.instructure.com/" TargetMode="External"/><Relationship Id="rId299" Type="http://schemas.openxmlformats.org/officeDocument/2006/relationships/hyperlink" Target="http://yale.instructure.com/" TargetMode="External"/><Relationship Id="rId303" Type="http://schemas.openxmlformats.org/officeDocument/2006/relationships/hyperlink" Target="http://yale.instructure.com/" TargetMode="External"/><Relationship Id="rId21" Type="http://schemas.openxmlformats.org/officeDocument/2006/relationships/hyperlink" Target="http://yale.instructure.com/" TargetMode="External"/><Relationship Id="rId42" Type="http://schemas.openxmlformats.org/officeDocument/2006/relationships/hyperlink" Target="http://yale.instructure.com/" TargetMode="External"/><Relationship Id="rId63" Type="http://schemas.openxmlformats.org/officeDocument/2006/relationships/hyperlink" Target="http://yale.instructure.com/" TargetMode="External"/><Relationship Id="rId84" Type="http://schemas.openxmlformats.org/officeDocument/2006/relationships/hyperlink" Target="http://yale.instructure.com/" TargetMode="External"/><Relationship Id="rId138" Type="http://schemas.openxmlformats.org/officeDocument/2006/relationships/hyperlink" Target="http://yale.instructure.com/" TargetMode="External"/><Relationship Id="rId159" Type="http://schemas.openxmlformats.org/officeDocument/2006/relationships/hyperlink" Target="http://yale.instructure.com/" TargetMode="External"/><Relationship Id="rId324" Type="http://schemas.openxmlformats.org/officeDocument/2006/relationships/hyperlink" Target="http://yale.instructure.com/" TargetMode="External"/><Relationship Id="rId345" Type="http://schemas.openxmlformats.org/officeDocument/2006/relationships/hyperlink" Target="http://yale.instructure.com/" TargetMode="External"/><Relationship Id="rId170" Type="http://schemas.openxmlformats.org/officeDocument/2006/relationships/hyperlink" Target="http://yale.instructure.com/" TargetMode="External"/><Relationship Id="rId191" Type="http://schemas.openxmlformats.org/officeDocument/2006/relationships/hyperlink" Target="http://yale.instructure.com/" TargetMode="External"/><Relationship Id="rId205" Type="http://schemas.openxmlformats.org/officeDocument/2006/relationships/hyperlink" Target="http://yale.instructure.com/" TargetMode="External"/><Relationship Id="rId226" Type="http://schemas.openxmlformats.org/officeDocument/2006/relationships/hyperlink" Target="http://yale.instructure.com/" TargetMode="External"/><Relationship Id="rId247" Type="http://schemas.openxmlformats.org/officeDocument/2006/relationships/hyperlink" Target="http://yale.instructure.com/" TargetMode="External"/><Relationship Id="rId107" Type="http://schemas.openxmlformats.org/officeDocument/2006/relationships/hyperlink" Target="http://yale.instructure.com/" TargetMode="External"/><Relationship Id="rId268" Type="http://schemas.openxmlformats.org/officeDocument/2006/relationships/hyperlink" Target="http://yale.instructure.com/" TargetMode="External"/><Relationship Id="rId289" Type="http://schemas.openxmlformats.org/officeDocument/2006/relationships/hyperlink" Target="http://yale.instructure.com/" TargetMode="External"/><Relationship Id="rId11" Type="http://schemas.openxmlformats.org/officeDocument/2006/relationships/hyperlink" Target="http://yale.instructure.com/" TargetMode="External"/><Relationship Id="rId32" Type="http://schemas.openxmlformats.org/officeDocument/2006/relationships/hyperlink" Target="http://yale.instructure.com/" TargetMode="External"/><Relationship Id="rId53" Type="http://schemas.openxmlformats.org/officeDocument/2006/relationships/hyperlink" Target="http://yale.instructure.com/" TargetMode="External"/><Relationship Id="rId74" Type="http://schemas.openxmlformats.org/officeDocument/2006/relationships/hyperlink" Target="http://yale.instructure.com/" TargetMode="External"/><Relationship Id="rId128" Type="http://schemas.openxmlformats.org/officeDocument/2006/relationships/hyperlink" Target="http://yale.instructure.com/" TargetMode="External"/><Relationship Id="rId149" Type="http://schemas.openxmlformats.org/officeDocument/2006/relationships/hyperlink" Target="http://yale.instructure.com/" TargetMode="External"/><Relationship Id="rId314" Type="http://schemas.openxmlformats.org/officeDocument/2006/relationships/hyperlink" Target="http://yale.instructure.com/" TargetMode="External"/><Relationship Id="rId335" Type="http://schemas.openxmlformats.org/officeDocument/2006/relationships/hyperlink" Target="http://yale.instructure.com/" TargetMode="External"/><Relationship Id="rId356" Type="http://schemas.openxmlformats.org/officeDocument/2006/relationships/hyperlink" Target="http://yale.instructure.com/" TargetMode="External"/><Relationship Id="rId5" Type="http://schemas.openxmlformats.org/officeDocument/2006/relationships/hyperlink" Target="http://yale.instructure.com/" TargetMode="External"/><Relationship Id="rId95" Type="http://schemas.openxmlformats.org/officeDocument/2006/relationships/hyperlink" Target="http://yale.instructure.com/" TargetMode="External"/><Relationship Id="rId160" Type="http://schemas.openxmlformats.org/officeDocument/2006/relationships/hyperlink" Target="http://yale.instructure.com/" TargetMode="External"/><Relationship Id="rId181" Type="http://schemas.openxmlformats.org/officeDocument/2006/relationships/hyperlink" Target="http://yale.instructure.com/" TargetMode="External"/><Relationship Id="rId216" Type="http://schemas.openxmlformats.org/officeDocument/2006/relationships/hyperlink" Target="http://yale.instructure.com/" TargetMode="External"/><Relationship Id="rId237" Type="http://schemas.openxmlformats.org/officeDocument/2006/relationships/hyperlink" Target="http://yale.instructure.com/" TargetMode="External"/><Relationship Id="rId258" Type="http://schemas.openxmlformats.org/officeDocument/2006/relationships/hyperlink" Target="http://yale.instructure.com/" TargetMode="External"/><Relationship Id="rId279" Type="http://schemas.openxmlformats.org/officeDocument/2006/relationships/hyperlink" Target="http://yale.instructure.com/" TargetMode="External"/><Relationship Id="rId22" Type="http://schemas.openxmlformats.org/officeDocument/2006/relationships/hyperlink" Target="http://yale.instructure.com/" TargetMode="External"/><Relationship Id="rId43" Type="http://schemas.openxmlformats.org/officeDocument/2006/relationships/hyperlink" Target="http://yale.instructure.com/" TargetMode="External"/><Relationship Id="rId64" Type="http://schemas.openxmlformats.org/officeDocument/2006/relationships/hyperlink" Target="http://yale.instructure.com/" TargetMode="External"/><Relationship Id="rId118" Type="http://schemas.openxmlformats.org/officeDocument/2006/relationships/hyperlink" Target="http://yale.instructure.com/" TargetMode="External"/><Relationship Id="rId139" Type="http://schemas.openxmlformats.org/officeDocument/2006/relationships/hyperlink" Target="http://yale.instructure.com/" TargetMode="External"/><Relationship Id="rId290" Type="http://schemas.openxmlformats.org/officeDocument/2006/relationships/hyperlink" Target="http://yale.instructure.com/" TargetMode="External"/><Relationship Id="rId304" Type="http://schemas.openxmlformats.org/officeDocument/2006/relationships/hyperlink" Target="http://yale.instructure.com/" TargetMode="External"/><Relationship Id="rId325" Type="http://schemas.openxmlformats.org/officeDocument/2006/relationships/hyperlink" Target="http://yale.instructure.com/" TargetMode="External"/><Relationship Id="rId346" Type="http://schemas.openxmlformats.org/officeDocument/2006/relationships/hyperlink" Target="http://yale.instructure.com/" TargetMode="External"/><Relationship Id="rId85" Type="http://schemas.openxmlformats.org/officeDocument/2006/relationships/hyperlink" Target="http://yale.instructure.com/" TargetMode="External"/><Relationship Id="rId150" Type="http://schemas.openxmlformats.org/officeDocument/2006/relationships/hyperlink" Target="http://yale.instructure.com/" TargetMode="External"/><Relationship Id="rId171" Type="http://schemas.openxmlformats.org/officeDocument/2006/relationships/hyperlink" Target="http://yale.instructure.com/" TargetMode="External"/><Relationship Id="rId192" Type="http://schemas.openxmlformats.org/officeDocument/2006/relationships/hyperlink" Target="http://yale.instructure.com/" TargetMode="External"/><Relationship Id="rId206" Type="http://schemas.openxmlformats.org/officeDocument/2006/relationships/hyperlink" Target="http://yale.instructure.com/" TargetMode="External"/><Relationship Id="rId227" Type="http://schemas.openxmlformats.org/officeDocument/2006/relationships/hyperlink" Target="http://yale.instructure.com/" TargetMode="External"/><Relationship Id="rId248" Type="http://schemas.openxmlformats.org/officeDocument/2006/relationships/hyperlink" Target="http://yale.instructure.com/" TargetMode="External"/><Relationship Id="rId269" Type="http://schemas.openxmlformats.org/officeDocument/2006/relationships/hyperlink" Target="http://yale.instructure.com/" TargetMode="External"/><Relationship Id="rId12" Type="http://schemas.openxmlformats.org/officeDocument/2006/relationships/hyperlink" Target="http://yale.instructure.com/" TargetMode="External"/><Relationship Id="rId33" Type="http://schemas.openxmlformats.org/officeDocument/2006/relationships/hyperlink" Target="http://yale.instructure.com/" TargetMode="External"/><Relationship Id="rId108" Type="http://schemas.openxmlformats.org/officeDocument/2006/relationships/hyperlink" Target="http://yale.instructure.com/" TargetMode="External"/><Relationship Id="rId129" Type="http://schemas.openxmlformats.org/officeDocument/2006/relationships/hyperlink" Target="http://yale.instructure.com/" TargetMode="External"/><Relationship Id="rId280" Type="http://schemas.openxmlformats.org/officeDocument/2006/relationships/hyperlink" Target="http://yale.instructure.com/" TargetMode="External"/><Relationship Id="rId315" Type="http://schemas.openxmlformats.org/officeDocument/2006/relationships/hyperlink" Target="http://yale.instructure.com/" TargetMode="External"/><Relationship Id="rId336" Type="http://schemas.openxmlformats.org/officeDocument/2006/relationships/hyperlink" Target="http://yale.instructure.com/" TargetMode="External"/><Relationship Id="rId357" Type="http://schemas.openxmlformats.org/officeDocument/2006/relationships/hyperlink" Target="http://yale.instructure.com/" TargetMode="External"/><Relationship Id="rId54" Type="http://schemas.openxmlformats.org/officeDocument/2006/relationships/hyperlink" Target="http://yale.instructure.com/" TargetMode="External"/><Relationship Id="rId75" Type="http://schemas.openxmlformats.org/officeDocument/2006/relationships/hyperlink" Target="http://yale.instructure.com/" TargetMode="External"/><Relationship Id="rId96" Type="http://schemas.openxmlformats.org/officeDocument/2006/relationships/hyperlink" Target="http://yale.instructure.com/" TargetMode="External"/><Relationship Id="rId140" Type="http://schemas.openxmlformats.org/officeDocument/2006/relationships/hyperlink" Target="http://yale.instructure.com/" TargetMode="External"/><Relationship Id="rId161" Type="http://schemas.openxmlformats.org/officeDocument/2006/relationships/hyperlink" Target="http://yale.instructure.com/" TargetMode="External"/><Relationship Id="rId182" Type="http://schemas.openxmlformats.org/officeDocument/2006/relationships/hyperlink" Target="http://yale.instructure.com/" TargetMode="External"/><Relationship Id="rId217" Type="http://schemas.openxmlformats.org/officeDocument/2006/relationships/hyperlink" Target="http://yale.instructure.com/" TargetMode="External"/><Relationship Id="rId6" Type="http://schemas.openxmlformats.org/officeDocument/2006/relationships/hyperlink" Target="http://yale.instructure.com/" TargetMode="External"/><Relationship Id="rId238" Type="http://schemas.openxmlformats.org/officeDocument/2006/relationships/hyperlink" Target="http://yale.instructure.com/" TargetMode="External"/><Relationship Id="rId259" Type="http://schemas.openxmlformats.org/officeDocument/2006/relationships/hyperlink" Target="http://yale.instructure.com/" TargetMode="External"/><Relationship Id="rId23" Type="http://schemas.openxmlformats.org/officeDocument/2006/relationships/hyperlink" Target="http://yale.instructure.com/" TargetMode="External"/><Relationship Id="rId119" Type="http://schemas.openxmlformats.org/officeDocument/2006/relationships/hyperlink" Target="http://yale.instructure.com/" TargetMode="External"/><Relationship Id="rId270" Type="http://schemas.openxmlformats.org/officeDocument/2006/relationships/hyperlink" Target="http://yale.instructure.com/" TargetMode="External"/><Relationship Id="rId291" Type="http://schemas.openxmlformats.org/officeDocument/2006/relationships/hyperlink" Target="http://yale.instructure.com/" TargetMode="External"/><Relationship Id="rId305" Type="http://schemas.openxmlformats.org/officeDocument/2006/relationships/hyperlink" Target="http://yale.instructure.com/" TargetMode="External"/><Relationship Id="rId326" Type="http://schemas.openxmlformats.org/officeDocument/2006/relationships/hyperlink" Target="http://yale.instructure.com/" TargetMode="External"/><Relationship Id="rId347" Type="http://schemas.openxmlformats.org/officeDocument/2006/relationships/hyperlink" Target="http://yale.instructure.com/" TargetMode="External"/><Relationship Id="rId44" Type="http://schemas.openxmlformats.org/officeDocument/2006/relationships/hyperlink" Target="http://yale.instructure.com/" TargetMode="External"/><Relationship Id="rId65" Type="http://schemas.openxmlformats.org/officeDocument/2006/relationships/hyperlink" Target="http://yale.instructure.com/" TargetMode="External"/><Relationship Id="rId86" Type="http://schemas.openxmlformats.org/officeDocument/2006/relationships/hyperlink" Target="http://yale.instructure.com/" TargetMode="External"/><Relationship Id="rId130" Type="http://schemas.openxmlformats.org/officeDocument/2006/relationships/hyperlink" Target="http://yale.instructure.com/" TargetMode="External"/><Relationship Id="rId151" Type="http://schemas.openxmlformats.org/officeDocument/2006/relationships/hyperlink" Target="http://yale.instructure.com/" TargetMode="External"/><Relationship Id="rId172" Type="http://schemas.openxmlformats.org/officeDocument/2006/relationships/hyperlink" Target="http://yale.instructure.com/" TargetMode="External"/><Relationship Id="rId193" Type="http://schemas.openxmlformats.org/officeDocument/2006/relationships/hyperlink" Target="http://yale.instructure.com/" TargetMode="External"/><Relationship Id="rId207" Type="http://schemas.openxmlformats.org/officeDocument/2006/relationships/hyperlink" Target="http://yale.instructure.com/" TargetMode="External"/><Relationship Id="rId228" Type="http://schemas.openxmlformats.org/officeDocument/2006/relationships/hyperlink" Target="http://yale.instructure.com/" TargetMode="External"/><Relationship Id="rId249" Type="http://schemas.openxmlformats.org/officeDocument/2006/relationships/hyperlink" Target="http://yale.instructure.com/" TargetMode="External"/><Relationship Id="rId13" Type="http://schemas.openxmlformats.org/officeDocument/2006/relationships/hyperlink" Target="http://yale.instructure.com/" TargetMode="External"/><Relationship Id="rId109" Type="http://schemas.openxmlformats.org/officeDocument/2006/relationships/hyperlink" Target="http://yale.instructure.com/" TargetMode="External"/><Relationship Id="rId260" Type="http://schemas.openxmlformats.org/officeDocument/2006/relationships/hyperlink" Target="http://yale.instructure.com/" TargetMode="External"/><Relationship Id="rId281" Type="http://schemas.openxmlformats.org/officeDocument/2006/relationships/hyperlink" Target="http://yale.instructure.com/" TargetMode="External"/><Relationship Id="rId316" Type="http://schemas.openxmlformats.org/officeDocument/2006/relationships/hyperlink" Target="http://yale.instructure.com/" TargetMode="External"/><Relationship Id="rId337" Type="http://schemas.openxmlformats.org/officeDocument/2006/relationships/hyperlink" Target="http://yale.instructure.com/" TargetMode="External"/><Relationship Id="rId34" Type="http://schemas.openxmlformats.org/officeDocument/2006/relationships/hyperlink" Target="http://yale.instructure.com/" TargetMode="External"/><Relationship Id="rId55" Type="http://schemas.openxmlformats.org/officeDocument/2006/relationships/hyperlink" Target="http://yale.instructure.com/" TargetMode="External"/><Relationship Id="rId76" Type="http://schemas.openxmlformats.org/officeDocument/2006/relationships/hyperlink" Target="http://yale.instructure.com/" TargetMode="External"/><Relationship Id="rId97" Type="http://schemas.openxmlformats.org/officeDocument/2006/relationships/hyperlink" Target="http://yale.instructure.com/" TargetMode="External"/><Relationship Id="rId120" Type="http://schemas.openxmlformats.org/officeDocument/2006/relationships/hyperlink" Target="http://yale.instructure.com/" TargetMode="External"/><Relationship Id="rId141" Type="http://schemas.openxmlformats.org/officeDocument/2006/relationships/hyperlink" Target="http://yale.instructure.com/" TargetMode="External"/><Relationship Id="rId358" Type="http://schemas.openxmlformats.org/officeDocument/2006/relationships/hyperlink" Target="http://yale.instructure.com/" TargetMode="External"/><Relationship Id="rId7" Type="http://schemas.openxmlformats.org/officeDocument/2006/relationships/hyperlink" Target="http://yale.instructure.com/" TargetMode="External"/><Relationship Id="rId162" Type="http://schemas.openxmlformats.org/officeDocument/2006/relationships/hyperlink" Target="http://yale.instructure.com/" TargetMode="External"/><Relationship Id="rId183" Type="http://schemas.openxmlformats.org/officeDocument/2006/relationships/hyperlink" Target="http://yale.instructure.com/" TargetMode="External"/><Relationship Id="rId218" Type="http://schemas.openxmlformats.org/officeDocument/2006/relationships/hyperlink" Target="http://yale.instructure.com/" TargetMode="External"/><Relationship Id="rId239" Type="http://schemas.openxmlformats.org/officeDocument/2006/relationships/hyperlink" Target="http://yale.instructure.com/" TargetMode="External"/><Relationship Id="rId250" Type="http://schemas.openxmlformats.org/officeDocument/2006/relationships/hyperlink" Target="http://yale.instructure.com/" TargetMode="External"/><Relationship Id="rId271" Type="http://schemas.openxmlformats.org/officeDocument/2006/relationships/hyperlink" Target="http://yale.instructure.com/" TargetMode="External"/><Relationship Id="rId292" Type="http://schemas.openxmlformats.org/officeDocument/2006/relationships/hyperlink" Target="http://yale.instructure.com/" TargetMode="External"/><Relationship Id="rId306" Type="http://schemas.openxmlformats.org/officeDocument/2006/relationships/hyperlink" Target="http://yale.instructure.com/" TargetMode="External"/><Relationship Id="rId24" Type="http://schemas.openxmlformats.org/officeDocument/2006/relationships/hyperlink" Target="http://yale.instructure.com/" TargetMode="External"/><Relationship Id="rId45" Type="http://schemas.openxmlformats.org/officeDocument/2006/relationships/hyperlink" Target="http://yale.instructure.com/" TargetMode="External"/><Relationship Id="rId66" Type="http://schemas.openxmlformats.org/officeDocument/2006/relationships/hyperlink" Target="http://yale.instructure.com/" TargetMode="External"/><Relationship Id="rId87" Type="http://schemas.openxmlformats.org/officeDocument/2006/relationships/hyperlink" Target="http://yale.instructure.com/" TargetMode="External"/><Relationship Id="rId110" Type="http://schemas.openxmlformats.org/officeDocument/2006/relationships/hyperlink" Target="http://yale.instructure.com/" TargetMode="External"/><Relationship Id="rId131" Type="http://schemas.openxmlformats.org/officeDocument/2006/relationships/hyperlink" Target="http://yale.instructure.com/" TargetMode="External"/><Relationship Id="rId327" Type="http://schemas.openxmlformats.org/officeDocument/2006/relationships/hyperlink" Target="http://yale.instructure.com/" TargetMode="External"/><Relationship Id="rId348" Type="http://schemas.openxmlformats.org/officeDocument/2006/relationships/hyperlink" Target="http://yale.instructure.com/" TargetMode="External"/><Relationship Id="rId152" Type="http://schemas.openxmlformats.org/officeDocument/2006/relationships/hyperlink" Target="http://yale.instructure.com/" TargetMode="External"/><Relationship Id="rId173" Type="http://schemas.openxmlformats.org/officeDocument/2006/relationships/hyperlink" Target="http://yale.instructure.com/" TargetMode="External"/><Relationship Id="rId194" Type="http://schemas.openxmlformats.org/officeDocument/2006/relationships/hyperlink" Target="http://yale.instructure.com/" TargetMode="External"/><Relationship Id="rId208" Type="http://schemas.openxmlformats.org/officeDocument/2006/relationships/hyperlink" Target="http://yale.instructure.com/" TargetMode="External"/><Relationship Id="rId229" Type="http://schemas.openxmlformats.org/officeDocument/2006/relationships/hyperlink" Target="http://yale.instructure.com/" TargetMode="External"/><Relationship Id="rId240" Type="http://schemas.openxmlformats.org/officeDocument/2006/relationships/hyperlink" Target="http://yale.instructure.com/" TargetMode="External"/><Relationship Id="rId261" Type="http://schemas.openxmlformats.org/officeDocument/2006/relationships/hyperlink" Target="http://yale.instructure.com/" TargetMode="External"/><Relationship Id="rId14" Type="http://schemas.openxmlformats.org/officeDocument/2006/relationships/hyperlink" Target="http://yale.instructure.com/" TargetMode="External"/><Relationship Id="rId35" Type="http://schemas.openxmlformats.org/officeDocument/2006/relationships/hyperlink" Target="http://yale.instructure.com/" TargetMode="External"/><Relationship Id="rId56" Type="http://schemas.openxmlformats.org/officeDocument/2006/relationships/hyperlink" Target="http://yale.instructure.com/" TargetMode="External"/><Relationship Id="rId77" Type="http://schemas.openxmlformats.org/officeDocument/2006/relationships/hyperlink" Target="http://yale.instructure.com/" TargetMode="External"/><Relationship Id="rId100" Type="http://schemas.openxmlformats.org/officeDocument/2006/relationships/hyperlink" Target="http://yale.instructure.com/" TargetMode="External"/><Relationship Id="rId282" Type="http://schemas.openxmlformats.org/officeDocument/2006/relationships/hyperlink" Target="http://yale.instructure.com/" TargetMode="External"/><Relationship Id="rId317" Type="http://schemas.openxmlformats.org/officeDocument/2006/relationships/hyperlink" Target="http://yale.instructure.com/" TargetMode="External"/><Relationship Id="rId338" Type="http://schemas.openxmlformats.org/officeDocument/2006/relationships/hyperlink" Target="http://yale.instructure.com/" TargetMode="External"/><Relationship Id="rId8" Type="http://schemas.openxmlformats.org/officeDocument/2006/relationships/hyperlink" Target="http://yale.instructure.com/" TargetMode="External"/><Relationship Id="rId98" Type="http://schemas.openxmlformats.org/officeDocument/2006/relationships/hyperlink" Target="http://yale.instructure.com/" TargetMode="External"/><Relationship Id="rId121" Type="http://schemas.openxmlformats.org/officeDocument/2006/relationships/hyperlink" Target="http://yale.instructure.com/" TargetMode="External"/><Relationship Id="rId142" Type="http://schemas.openxmlformats.org/officeDocument/2006/relationships/hyperlink" Target="http://yale.instructure.com/" TargetMode="External"/><Relationship Id="rId163" Type="http://schemas.openxmlformats.org/officeDocument/2006/relationships/hyperlink" Target="http://yale.instructure.com/" TargetMode="External"/><Relationship Id="rId184" Type="http://schemas.openxmlformats.org/officeDocument/2006/relationships/hyperlink" Target="http://yale.instructure.com/" TargetMode="External"/><Relationship Id="rId219" Type="http://schemas.openxmlformats.org/officeDocument/2006/relationships/hyperlink" Target="http://yale.instructure.com/" TargetMode="External"/><Relationship Id="rId230" Type="http://schemas.openxmlformats.org/officeDocument/2006/relationships/hyperlink" Target="http://yale.instructure.com/" TargetMode="External"/><Relationship Id="rId251" Type="http://schemas.openxmlformats.org/officeDocument/2006/relationships/hyperlink" Target="http://yale.instructure.com/" TargetMode="External"/><Relationship Id="rId25" Type="http://schemas.openxmlformats.org/officeDocument/2006/relationships/hyperlink" Target="http://yale.instructure.com/" TargetMode="External"/><Relationship Id="rId46" Type="http://schemas.openxmlformats.org/officeDocument/2006/relationships/hyperlink" Target="http://yale.instructure.com/" TargetMode="External"/><Relationship Id="rId67" Type="http://schemas.openxmlformats.org/officeDocument/2006/relationships/hyperlink" Target="http://yale.instructure.com/" TargetMode="External"/><Relationship Id="rId272" Type="http://schemas.openxmlformats.org/officeDocument/2006/relationships/hyperlink" Target="http://yale.instructure.com/" TargetMode="External"/><Relationship Id="rId293" Type="http://schemas.openxmlformats.org/officeDocument/2006/relationships/hyperlink" Target="http://yale.instructure.com/" TargetMode="External"/><Relationship Id="rId307" Type="http://schemas.openxmlformats.org/officeDocument/2006/relationships/hyperlink" Target="http://yale.instructure.com/" TargetMode="External"/><Relationship Id="rId328" Type="http://schemas.openxmlformats.org/officeDocument/2006/relationships/hyperlink" Target="http://yale.instructure.com/" TargetMode="External"/><Relationship Id="rId349" Type="http://schemas.openxmlformats.org/officeDocument/2006/relationships/hyperlink" Target="http://yale.instructure.com/" TargetMode="External"/><Relationship Id="rId88" Type="http://schemas.openxmlformats.org/officeDocument/2006/relationships/hyperlink" Target="http://yale.instructure.com/" TargetMode="External"/><Relationship Id="rId111" Type="http://schemas.openxmlformats.org/officeDocument/2006/relationships/hyperlink" Target="http://yale.instructure.com/" TargetMode="External"/><Relationship Id="rId132" Type="http://schemas.openxmlformats.org/officeDocument/2006/relationships/hyperlink" Target="http://yale.instructure.com/" TargetMode="External"/><Relationship Id="rId153" Type="http://schemas.openxmlformats.org/officeDocument/2006/relationships/hyperlink" Target="http://yale.instructure.com/" TargetMode="External"/><Relationship Id="rId174" Type="http://schemas.openxmlformats.org/officeDocument/2006/relationships/hyperlink" Target="http://yale.instructure.com/" TargetMode="External"/><Relationship Id="rId195" Type="http://schemas.openxmlformats.org/officeDocument/2006/relationships/hyperlink" Target="http://yale.instructure.com/" TargetMode="External"/><Relationship Id="rId209" Type="http://schemas.openxmlformats.org/officeDocument/2006/relationships/hyperlink" Target="http://yale.instructure.com/" TargetMode="External"/><Relationship Id="rId190" Type="http://schemas.openxmlformats.org/officeDocument/2006/relationships/hyperlink" Target="http://yale.instructure.com/" TargetMode="External"/><Relationship Id="rId204" Type="http://schemas.openxmlformats.org/officeDocument/2006/relationships/hyperlink" Target="http://yale.instructure.com/" TargetMode="External"/><Relationship Id="rId220" Type="http://schemas.openxmlformats.org/officeDocument/2006/relationships/hyperlink" Target="http://yale.instructure.com/" TargetMode="External"/><Relationship Id="rId225" Type="http://schemas.openxmlformats.org/officeDocument/2006/relationships/hyperlink" Target="http://yale.instructure.com/" TargetMode="External"/><Relationship Id="rId241" Type="http://schemas.openxmlformats.org/officeDocument/2006/relationships/hyperlink" Target="http://yale.instructure.com/" TargetMode="External"/><Relationship Id="rId246" Type="http://schemas.openxmlformats.org/officeDocument/2006/relationships/hyperlink" Target="http://yale.instructure.com/" TargetMode="External"/><Relationship Id="rId267" Type="http://schemas.openxmlformats.org/officeDocument/2006/relationships/hyperlink" Target="http://yale.instructure.com/" TargetMode="External"/><Relationship Id="rId288" Type="http://schemas.openxmlformats.org/officeDocument/2006/relationships/hyperlink" Target="http://yale.instructure.com/" TargetMode="External"/><Relationship Id="rId15" Type="http://schemas.openxmlformats.org/officeDocument/2006/relationships/hyperlink" Target="http://yale.instructure.com/" TargetMode="External"/><Relationship Id="rId36" Type="http://schemas.openxmlformats.org/officeDocument/2006/relationships/hyperlink" Target="http://yale.instructure.com/" TargetMode="External"/><Relationship Id="rId57" Type="http://schemas.openxmlformats.org/officeDocument/2006/relationships/hyperlink" Target="http://yale.instructure.com/" TargetMode="External"/><Relationship Id="rId106" Type="http://schemas.openxmlformats.org/officeDocument/2006/relationships/hyperlink" Target="http://yale.instructure.com/" TargetMode="External"/><Relationship Id="rId127" Type="http://schemas.openxmlformats.org/officeDocument/2006/relationships/hyperlink" Target="http://yale.instructure.com/" TargetMode="External"/><Relationship Id="rId262" Type="http://schemas.openxmlformats.org/officeDocument/2006/relationships/hyperlink" Target="http://yale.instructure.com/" TargetMode="External"/><Relationship Id="rId283" Type="http://schemas.openxmlformats.org/officeDocument/2006/relationships/hyperlink" Target="http://yale.instructure.com/" TargetMode="External"/><Relationship Id="rId313" Type="http://schemas.openxmlformats.org/officeDocument/2006/relationships/hyperlink" Target="http://yale.instructure.com/" TargetMode="External"/><Relationship Id="rId318" Type="http://schemas.openxmlformats.org/officeDocument/2006/relationships/hyperlink" Target="http://yale.instructure.com/" TargetMode="External"/><Relationship Id="rId339" Type="http://schemas.openxmlformats.org/officeDocument/2006/relationships/hyperlink" Target="http://yale.instructure.com/" TargetMode="External"/><Relationship Id="rId10" Type="http://schemas.openxmlformats.org/officeDocument/2006/relationships/hyperlink" Target="http://yale.instructure.com/" TargetMode="External"/><Relationship Id="rId31" Type="http://schemas.openxmlformats.org/officeDocument/2006/relationships/hyperlink" Target="http://yale.instructure.com/" TargetMode="External"/><Relationship Id="rId52" Type="http://schemas.openxmlformats.org/officeDocument/2006/relationships/hyperlink" Target="http://yale.instructure.com/" TargetMode="External"/><Relationship Id="rId73" Type="http://schemas.openxmlformats.org/officeDocument/2006/relationships/hyperlink" Target="http://yale.instructure.com/" TargetMode="External"/><Relationship Id="rId78" Type="http://schemas.openxmlformats.org/officeDocument/2006/relationships/hyperlink" Target="http://yale.instructure.com/" TargetMode="External"/><Relationship Id="rId94" Type="http://schemas.openxmlformats.org/officeDocument/2006/relationships/hyperlink" Target="http://yale.instructure.com/" TargetMode="External"/><Relationship Id="rId99" Type="http://schemas.openxmlformats.org/officeDocument/2006/relationships/hyperlink" Target="http://yale.instructure.com/" TargetMode="External"/><Relationship Id="rId101" Type="http://schemas.openxmlformats.org/officeDocument/2006/relationships/hyperlink" Target="http://yale.instructure.com/" TargetMode="External"/><Relationship Id="rId122" Type="http://schemas.openxmlformats.org/officeDocument/2006/relationships/hyperlink" Target="http://yale.instructure.com/" TargetMode="External"/><Relationship Id="rId143" Type="http://schemas.openxmlformats.org/officeDocument/2006/relationships/hyperlink" Target="http://yale.instructure.com/" TargetMode="External"/><Relationship Id="rId148" Type="http://schemas.openxmlformats.org/officeDocument/2006/relationships/hyperlink" Target="http://yale.instructure.com/" TargetMode="External"/><Relationship Id="rId164" Type="http://schemas.openxmlformats.org/officeDocument/2006/relationships/hyperlink" Target="http://yale.instructure.com/" TargetMode="External"/><Relationship Id="rId169" Type="http://schemas.openxmlformats.org/officeDocument/2006/relationships/hyperlink" Target="http://yale.instructure.com/" TargetMode="External"/><Relationship Id="rId185" Type="http://schemas.openxmlformats.org/officeDocument/2006/relationships/hyperlink" Target="http://yale.instructure.com/" TargetMode="External"/><Relationship Id="rId334" Type="http://schemas.openxmlformats.org/officeDocument/2006/relationships/hyperlink" Target="http://yale.instructure.com/" TargetMode="External"/><Relationship Id="rId350" Type="http://schemas.openxmlformats.org/officeDocument/2006/relationships/hyperlink" Target="http://yale.instructure.com/" TargetMode="External"/><Relationship Id="rId355" Type="http://schemas.openxmlformats.org/officeDocument/2006/relationships/hyperlink" Target="http://yale.instructure.com/" TargetMode="External"/><Relationship Id="rId4" Type="http://schemas.openxmlformats.org/officeDocument/2006/relationships/hyperlink" Target="http://yale.instructure.com/" TargetMode="External"/><Relationship Id="rId9" Type="http://schemas.openxmlformats.org/officeDocument/2006/relationships/hyperlink" Target="http://yale.instructure.com/" TargetMode="External"/><Relationship Id="rId180" Type="http://schemas.openxmlformats.org/officeDocument/2006/relationships/hyperlink" Target="http://yale.instructure.com/" TargetMode="External"/><Relationship Id="rId210" Type="http://schemas.openxmlformats.org/officeDocument/2006/relationships/hyperlink" Target="http://yale.instructure.com/" TargetMode="External"/><Relationship Id="rId215" Type="http://schemas.openxmlformats.org/officeDocument/2006/relationships/hyperlink" Target="http://yale.instructure.com/" TargetMode="External"/><Relationship Id="rId236" Type="http://schemas.openxmlformats.org/officeDocument/2006/relationships/hyperlink" Target="http://yale.instructure.com/" TargetMode="External"/><Relationship Id="rId257" Type="http://schemas.openxmlformats.org/officeDocument/2006/relationships/hyperlink" Target="http://yale.instructure.com/" TargetMode="External"/><Relationship Id="rId278" Type="http://schemas.openxmlformats.org/officeDocument/2006/relationships/hyperlink" Target="http://yale.instructure.com/" TargetMode="External"/><Relationship Id="rId26" Type="http://schemas.openxmlformats.org/officeDocument/2006/relationships/hyperlink" Target="http://yale.instructure.com/" TargetMode="External"/><Relationship Id="rId231" Type="http://schemas.openxmlformats.org/officeDocument/2006/relationships/hyperlink" Target="http://yale.instructure.com/" TargetMode="External"/><Relationship Id="rId252" Type="http://schemas.openxmlformats.org/officeDocument/2006/relationships/hyperlink" Target="http://yale.instructure.com/" TargetMode="External"/><Relationship Id="rId273" Type="http://schemas.openxmlformats.org/officeDocument/2006/relationships/hyperlink" Target="http://yale.instructure.com/" TargetMode="External"/><Relationship Id="rId294" Type="http://schemas.openxmlformats.org/officeDocument/2006/relationships/hyperlink" Target="http://yale.instructure.com/" TargetMode="External"/><Relationship Id="rId308" Type="http://schemas.openxmlformats.org/officeDocument/2006/relationships/hyperlink" Target="http://yale.instructure.com/" TargetMode="External"/><Relationship Id="rId329" Type="http://schemas.openxmlformats.org/officeDocument/2006/relationships/hyperlink" Target="http://yale.instructure.com/" TargetMode="External"/><Relationship Id="rId47" Type="http://schemas.openxmlformats.org/officeDocument/2006/relationships/hyperlink" Target="http://yale.instructure.com/" TargetMode="External"/><Relationship Id="rId68" Type="http://schemas.openxmlformats.org/officeDocument/2006/relationships/hyperlink" Target="http://yale.instructure.com/" TargetMode="External"/><Relationship Id="rId89" Type="http://schemas.openxmlformats.org/officeDocument/2006/relationships/hyperlink" Target="http://yale.instructure.com/" TargetMode="External"/><Relationship Id="rId112" Type="http://schemas.openxmlformats.org/officeDocument/2006/relationships/hyperlink" Target="http://yale.instructure.com/" TargetMode="External"/><Relationship Id="rId133" Type="http://schemas.openxmlformats.org/officeDocument/2006/relationships/hyperlink" Target="http://yale.instructure.com/" TargetMode="External"/><Relationship Id="rId154" Type="http://schemas.openxmlformats.org/officeDocument/2006/relationships/hyperlink" Target="http://yale.instructure.com/" TargetMode="External"/><Relationship Id="rId175" Type="http://schemas.openxmlformats.org/officeDocument/2006/relationships/hyperlink" Target="http://yale.instructure.com/" TargetMode="External"/><Relationship Id="rId340" Type="http://schemas.openxmlformats.org/officeDocument/2006/relationships/hyperlink" Target="http://yale.instructure.com/" TargetMode="External"/><Relationship Id="rId196" Type="http://schemas.openxmlformats.org/officeDocument/2006/relationships/hyperlink" Target="http://yale.instructure.com/" TargetMode="External"/><Relationship Id="rId200" Type="http://schemas.openxmlformats.org/officeDocument/2006/relationships/hyperlink" Target="http://yale.instructure.com/" TargetMode="External"/><Relationship Id="rId16" Type="http://schemas.openxmlformats.org/officeDocument/2006/relationships/hyperlink" Target="http://yale.instructure.com/" TargetMode="External"/><Relationship Id="rId221" Type="http://schemas.openxmlformats.org/officeDocument/2006/relationships/hyperlink" Target="http://yale.instructure.com/" TargetMode="External"/><Relationship Id="rId242" Type="http://schemas.openxmlformats.org/officeDocument/2006/relationships/hyperlink" Target="http://yale.instructure.com/" TargetMode="External"/><Relationship Id="rId263" Type="http://schemas.openxmlformats.org/officeDocument/2006/relationships/hyperlink" Target="http://yale.instructure.com/" TargetMode="External"/><Relationship Id="rId284" Type="http://schemas.openxmlformats.org/officeDocument/2006/relationships/hyperlink" Target="http://yale.instructure.com/" TargetMode="External"/><Relationship Id="rId319" Type="http://schemas.openxmlformats.org/officeDocument/2006/relationships/hyperlink" Target="http://yale.instructure.com/" TargetMode="External"/><Relationship Id="rId37" Type="http://schemas.openxmlformats.org/officeDocument/2006/relationships/hyperlink" Target="http://yale.instructure.com/" TargetMode="External"/><Relationship Id="rId58" Type="http://schemas.openxmlformats.org/officeDocument/2006/relationships/hyperlink" Target="http://yale.instructure.com/" TargetMode="External"/><Relationship Id="rId79" Type="http://schemas.openxmlformats.org/officeDocument/2006/relationships/hyperlink" Target="http://yale.instructure.com/" TargetMode="External"/><Relationship Id="rId102" Type="http://schemas.openxmlformats.org/officeDocument/2006/relationships/hyperlink" Target="http://yale.instructure.com/" TargetMode="External"/><Relationship Id="rId123" Type="http://schemas.openxmlformats.org/officeDocument/2006/relationships/hyperlink" Target="http://yale.instructure.com/" TargetMode="External"/><Relationship Id="rId144" Type="http://schemas.openxmlformats.org/officeDocument/2006/relationships/hyperlink" Target="http://yale.instructure.com/" TargetMode="External"/><Relationship Id="rId330" Type="http://schemas.openxmlformats.org/officeDocument/2006/relationships/hyperlink" Target="http://yale.instructure.com/" TargetMode="External"/><Relationship Id="rId90" Type="http://schemas.openxmlformats.org/officeDocument/2006/relationships/hyperlink" Target="http://yale.instructure.com/" TargetMode="External"/><Relationship Id="rId165" Type="http://schemas.openxmlformats.org/officeDocument/2006/relationships/hyperlink" Target="http://yale.instructure.com/" TargetMode="External"/><Relationship Id="rId186" Type="http://schemas.openxmlformats.org/officeDocument/2006/relationships/hyperlink" Target="http://yale.instructure.com/" TargetMode="External"/><Relationship Id="rId351" Type="http://schemas.openxmlformats.org/officeDocument/2006/relationships/hyperlink" Target="http://yale.instructure.com/" TargetMode="External"/><Relationship Id="rId211" Type="http://schemas.openxmlformats.org/officeDocument/2006/relationships/hyperlink" Target="http://yale.instructure.com/" TargetMode="External"/><Relationship Id="rId232" Type="http://schemas.openxmlformats.org/officeDocument/2006/relationships/hyperlink" Target="http://yale.instructure.com/" TargetMode="External"/><Relationship Id="rId253" Type="http://schemas.openxmlformats.org/officeDocument/2006/relationships/hyperlink" Target="http://yale.instructure.com/" TargetMode="External"/><Relationship Id="rId274" Type="http://schemas.openxmlformats.org/officeDocument/2006/relationships/hyperlink" Target="http://yale.instructure.com/" TargetMode="External"/><Relationship Id="rId295" Type="http://schemas.openxmlformats.org/officeDocument/2006/relationships/hyperlink" Target="http://yale.instructure.com/" TargetMode="External"/><Relationship Id="rId309" Type="http://schemas.openxmlformats.org/officeDocument/2006/relationships/hyperlink" Target="http://yale.instructure.com/" TargetMode="External"/><Relationship Id="rId27" Type="http://schemas.openxmlformats.org/officeDocument/2006/relationships/hyperlink" Target="http://yale.instructure.com/" TargetMode="External"/><Relationship Id="rId48" Type="http://schemas.openxmlformats.org/officeDocument/2006/relationships/hyperlink" Target="http://yale.instructure.com/" TargetMode="External"/><Relationship Id="rId69" Type="http://schemas.openxmlformats.org/officeDocument/2006/relationships/hyperlink" Target="http://yale.instructure.com/" TargetMode="External"/><Relationship Id="rId113" Type="http://schemas.openxmlformats.org/officeDocument/2006/relationships/hyperlink" Target="http://yale.instructure.com/" TargetMode="External"/><Relationship Id="rId134" Type="http://schemas.openxmlformats.org/officeDocument/2006/relationships/hyperlink" Target="http://yale.instructure.com/" TargetMode="External"/><Relationship Id="rId320" Type="http://schemas.openxmlformats.org/officeDocument/2006/relationships/hyperlink" Target="http://yale.instructure.com/" TargetMode="External"/><Relationship Id="rId80" Type="http://schemas.openxmlformats.org/officeDocument/2006/relationships/hyperlink" Target="http://yale.instructure.com/" TargetMode="External"/><Relationship Id="rId155" Type="http://schemas.openxmlformats.org/officeDocument/2006/relationships/hyperlink" Target="http://yale.instructure.com/" TargetMode="External"/><Relationship Id="rId176" Type="http://schemas.openxmlformats.org/officeDocument/2006/relationships/hyperlink" Target="http://yale.instructure.com/" TargetMode="External"/><Relationship Id="rId197" Type="http://schemas.openxmlformats.org/officeDocument/2006/relationships/hyperlink" Target="http://yale.instructure.com/" TargetMode="External"/><Relationship Id="rId341" Type="http://schemas.openxmlformats.org/officeDocument/2006/relationships/hyperlink" Target="http://yale.instructure.com/" TargetMode="External"/><Relationship Id="rId201" Type="http://schemas.openxmlformats.org/officeDocument/2006/relationships/hyperlink" Target="http://yale.instructure.com/" TargetMode="External"/><Relationship Id="rId222" Type="http://schemas.openxmlformats.org/officeDocument/2006/relationships/hyperlink" Target="http://yale.instructure.com/" TargetMode="External"/><Relationship Id="rId243" Type="http://schemas.openxmlformats.org/officeDocument/2006/relationships/hyperlink" Target="http://yale.instructure.com/" TargetMode="External"/><Relationship Id="rId264" Type="http://schemas.openxmlformats.org/officeDocument/2006/relationships/hyperlink" Target="http://yale.instructure.com/" TargetMode="External"/><Relationship Id="rId285" Type="http://schemas.openxmlformats.org/officeDocument/2006/relationships/hyperlink" Target="http://yale.instructure.com/" TargetMode="External"/><Relationship Id="rId17" Type="http://schemas.openxmlformats.org/officeDocument/2006/relationships/hyperlink" Target="http://yale.instructure.com/" TargetMode="External"/><Relationship Id="rId38" Type="http://schemas.openxmlformats.org/officeDocument/2006/relationships/hyperlink" Target="http://yale.instructure.com/" TargetMode="External"/><Relationship Id="rId59" Type="http://schemas.openxmlformats.org/officeDocument/2006/relationships/hyperlink" Target="http://yale.instructure.com/" TargetMode="External"/><Relationship Id="rId103" Type="http://schemas.openxmlformats.org/officeDocument/2006/relationships/hyperlink" Target="http://yale.instructure.com/" TargetMode="External"/><Relationship Id="rId124" Type="http://schemas.openxmlformats.org/officeDocument/2006/relationships/hyperlink" Target="http://yale.instructure.com/" TargetMode="External"/><Relationship Id="rId310" Type="http://schemas.openxmlformats.org/officeDocument/2006/relationships/hyperlink" Target="http://yale.instructure.com/" TargetMode="External"/><Relationship Id="rId70" Type="http://schemas.openxmlformats.org/officeDocument/2006/relationships/hyperlink" Target="http://yale.instructure.com/" TargetMode="External"/><Relationship Id="rId91" Type="http://schemas.openxmlformats.org/officeDocument/2006/relationships/hyperlink" Target="http://yale.instructure.com/" TargetMode="External"/><Relationship Id="rId145" Type="http://schemas.openxmlformats.org/officeDocument/2006/relationships/hyperlink" Target="http://yale.instructure.com/" TargetMode="External"/><Relationship Id="rId166" Type="http://schemas.openxmlformats.org/officeDocument/2006/relationships/hyperlink" Target="http://yale.instructure.com/" TargetMode="External"/><Relationship Id="rId187" Type="http://schemas.openxmlformats.org/officeDocument/2006/relationships/hyperlink" Target="http://yale.instructure.com/" TargetMode="External"/><Relationship Id="rId331" Type="http://schemas.openxmlformats.org/officeDocument/2006/relationships/hyperlink" Target="http://yale.instructure.com/" TargetMode="External"/><Relationship Id="rId352" Type="http://schemas.openxmlformats.org/officeDocument/2006/relationships/hyperlink" Target="http://yale.instructure.com/" TargetMode="External"/><Relationship Id="rId1" Type="http://schemas.openxmlformats.org/officeDocument/2006/relationships/hyperlink" Target="http://yale.instructure.com/" TargetMode="External"/><Relationship Id="rId212" Type="http://schemas.openxmlformats.org/officeDocument/2006/relationships/hyperlink" Target="http://yale.instructure.com/" TargetMode="External"/><Relationship Id="rId233" Type="http://schemas.openxmlformats.org/officeDocument/2006/relationships/hyperlink" Target="http://yale.instructure.com/" TargetMode="External"/><Relationship Id="rId254" Type="http://schemas.openxmlformats.org/officeDocument/2006/relationships/hyperlink" Target="http://yale.instructure.com/" TargetMode="External"/><Relationship Id="rId28" Type="http://schemas.openxmlformats.org/officeDocument/2006/relationships/hyperlink" Target="http://yale.instructure.com/" TargetMode="External"/><Relationship Id="rId49" Type="http://schemas.openxmlformats.org/officeDocument/2006/relationships/hyperlink" Target="http://yale.instructure.com/" TargetMode="External"/><Relationship Id="rId114" Type="http://schemas.openxmlformats.org/officeDocument/2006/relationships/hyperlink" Target="http://yale.instructure.com/" TargetMode="External"/><Relationship Id="rId275" Type="http://schemas.openxmlformats.org/officeDocument/2006/relationships/hyperlink" Target="http://yale.instructure.com/" TargetMode="External"/><Relationship Id="rId296" Type="http://schemas.openxmlformats.org/officeDocument/2006/relationships/hyperlink" Target="http://yale.instructure.com/" TargetMode="External"/><Relationship Id="rId300" Type="http://schemas.openxmlformats.org/officeDocument/2006/relationships/hyperlink" Target="http://yale.instructure.com/" TargetMode="External"/><Relationship Id="rId60" Type="http://schemas.openxmlformats.org/officeDocument/2006/relationships/hyperlink" Target="http://yale.instructure.com/" TargetMode="External"/><Relationship Id="rId81" Type="http://schemas.openxmlformats.org/officeDocument/2006/relationships/hyperlink" Target="http://yale.instructure.com/" TargetMode="External"/><Relationship Id="rId135" Type="http://schemas.openxmlformats.org/officeDocument/2006/relationships/hyperlink" Target="http://yale.instructure.com/" TargetMode="External"/><Relationship Id="rId156" Type="http://schemas.openxmlformats.org/officeDocument/2006/relationships/hyperlink" Target="http://yale.instructure.com/" TargetMode="External"/><Relationship Id="rId177" Type="http://schemas.openxmlformats.org/officeDocument/2006/relationships/hyperlink" Target="http://yale.instructure.com/" TargetMode="External"/><Relationship Id="rId198" Type="http://schemas.openxmlformats.org/officeDocument/2006/relationships/hyperlink" Target="http://yale.instructure.com/" TargetMode="External"/><Relationship Id="rId321" Type="http://schemas.openxmlformats.org/officeDocument/2006/relationships/hyperlink" Target="http://yale.instructure.com/" TargetMode="External"/><Relationship Id="rId342" Type="http://schemas.openxmlformats.org/officeDocument/2006/relationships/hyperlink" Target="http://yale.instructure.com/" TargetMode="External"/><Relationship Id="rId202" Type="http://schemas.openxmlformats.org/officeDocument/2006/relationships/hyperlink" Target="http://yale.instructure.com/" TargetMode="External"/><Relationship Id="rId223" Type="http://schemas.openxmlformats.org/officeDocument/2006/relationships/hyperlink" Target="http://yale.instructure.com/" TargetMode="External"/><Relationship Id="rId244" Type="http://schemas.openxmlformats.org/officeDocument/2006/relationships/hyperlink" Target="http://yale.instructure.com/" TargetMode="External"/><Relationship Id="rId18" Type="http://schemas.openxmlformats.org/officeDocument/2006/relationships/hyperlink" Target="http://yale.instructure.com/" TargetMode="External"/><Relationship Id="rId39" Type="http://schemas.openxmlformats.org/officeDocument/2006/relationships/hyperlink" Target="http://yale.instructure.com/" TargetMode="External"/><Relationship Id="rId265" Type="http://schemas.openxmlformats.org/officeDocument/2006/relationships/hyperlink" Target="http://yale.instructure.com/" TargetMode="External"/><Relationship Id="rId286" Type="http://schemas.openxmlformats.org/officeDocument/2006/relationships/hyperlink" Target="http://yale.instructure.com/" TargetMode="External"/><Relationship Id="rId50" Type="http://schemas.openxmlformats.org/officeDocument/2006/relationships/hyperlink" Target="http://yale.instructure.com/" TargetMode="External"/><Relationship Id="rId104" Type="http://schemas.openxmlformats.org/officeDocument/2006/relationships/hyperlink" Target="http://yale.instructure.com/" TargetMode="External"/><Relationship Id="rId125" Type="http://schemas.openxmlformats.org/officeDocument/2006/relationships/hyperlink" Target="http://yale.instructure.com/" TargetMode="External"/><Relationship Id="rId146" Type="http://schemas.openxmlformats.org/officeDocument/2006/relationships/hyperlink" Target="http://yale.instructure.com/" TargetMode="External"/><Relationship Id="rId167" Type="http://schemas.openxmlformats.org/officeDocument/2006/relationships/hyperlink" Target="http://yale.instructure.com/" TargetMode="External"/><Relationship Id="rId188" Type="http://schemas.openxmlformats.org/officeDocument/2006/relationships/hyperlink" Target="http://yale.instructure.com/" TargetMode="External"/><Relationship Id="rId311" Type="http://schemas.openxmlformats.org/officeDocument/2006/relationships/hyperlink" Target="http://yale.instructure.com/" TargetMode="External"/><Relationship Id="rId332" Type="http://schemas.openxmlformats.org/officeDocument/2006/relationships/hyperlink" Target="http://yale.instructure.com/" TargetMode="External"/><Relationship Id="rId353" Type="http://schemas.openxmlformats.org/officeDocument/2006/relationships/hyperlink" Target="http://yale.instructure.com/" TargetMode="External"/><Relationship Id="rId71" Type="http://schemas.openxmlformats.org/officeDocument/2006/relationships/hyperlink" Target="http://yale.instructure.com/" TargetMode="External"/><Relationship Id="rId92" Type="http://schemas.openxmlformats.org/officeDocument/2006/relationships/hyperlink" Target="http://yale.instructure.com/" TargetMode="External"/><Relationship Id="rId213" Type="http://schemas.openxmlformats.org/officeDocument/2006/relationships/hyperlink" Target="http://yale.instructure.com/" TargetMode="External"/><Relationship Id="rId234" Type="http://schemas.openxmlformats.org/officeDocument/2006/relationships/hyperlink" Target="http://yale.instructure.com/" TargetMode="External"/><Relationship Id="rId2" Type="http://schemas.openxmlformats.org/officeDocument/2006/relationships/hyperlink" Target="http://yale.instructure.com/" TargetMode="External"/><Relationship Id="rId29" Type="http://schemas.openxmlformats.org/officeDocument/2006/relationships/hyperlink" Target="http://yale.instructure.com/" TargetMode="External"/><Relationship Id="rId255" Type="http://schemas.openxmlformats.org/officeDocument/2006/relationships/hyperlink" Target="http://yale.instructure.com/" TargetMode="External"/><Relationship Id="rId276" Type="http://schemas.openxmlformats.org/officeDocument/2006/relationships/hyperlink" Target="http://yale.instructure.com/" TargetMode="External"/><Relationship Id="rId297" Type="http://schemas.openxmlformats.org/officeDocument/2006/relationships/hyperlink" Target="http://yale.instructure.com/" TargetMode="External"/><Relationship Id="rId40" Type="http://schemas.openxmlformats.org/officeDocument/2006/relationships/hyperlink" Target="http://yale.instructure.com/" TargetMode="External"/><Relationship Id="rId115" Type="http://schemas.openxmlformats.org/officeDocument/2006/relationships/hyperlink" Target="http://yale.instructure.com/" TargetMode="External"/><Relationship Id="rId136" Type="http://schemas.openxmlformats.org/officeDocument/2006/relationships/hyperlink" Target="http://yale.instructure.com/" TargetMode="External"/><Relationship Id="rId157" Type="http://schemas.openxmlformats.org/officeDocument/2006/relationships/hyperlink" Target="http://yale.instructure.com/" TargetMode="External"/><Relationship Id="rId178" Type="http://schemas.openxmlformats.org/officeDocument/2006/relationships/hyperlink" Target="http://yale.instructure.com/" TargetMode="External"/><Relationship Id="rId301" Type="http://schemas.openxmlformats.org/officeDocument/2006/relationships/hyperlink" Target="http://yale.instructure.com/" TargetMode="External"/><Relationship Id="rId322" Type="http://schemas.openxmlformats.org/officeDocument/2006/relationships/hyperlink" Target="http://yale.instructure.com/" TargetMode="External"/><Relationship Id="rId343" Type="http://schemas.openxmlformats.org/officeDocument/2006/relationships/hyperlink" Target="http://yale.instructure.com/" TargetMode="External"/><Relationship Id="rId61" Type="http://schemas.openxmlformats.org/officeDocument/2006/relationships/hyperlink" Target="http://yale.instructure.com/" TargetMode="External"/><Relationship Id="rId82" Type="http://schemas.openxmlformats.org/officeDocument/2006/relationships/hyperlink" Target="http://yale.instructure.com/" TargetMode="External"/><Relationship Id="rId199" Type="http://schemas.openxmlformats.org/officeDocument/2006/relationships/hyperlink" Target="http://yale.instructure.com/" TargetMode="External"/><Relationship Id="rId203" Type="http://schemas.openxmlformats.org/officeDocument/2006/relationships/hyperlink" Target="http://yale.instructure.com/" TargetMode="External"/><Relationship Id="rId19" Type="http://schemas.openxmlformats.org/officeDocument/2006/relationships/hyperlink" Target="http://yale.instructure.com/" TargetMode="External"/><Relationship Id="rId224" Type="http://schemas.openxmlformats.org/officeDocument/2006/relationships/hyperlink" Target="http://yale.instructure.com/" TargetMode="External"/><Relationship Id="rId245" Type="http://schemas.openxmlformats.org/officeDocument/2006/relationships/hyperlink" Target="http://yale.instructure.com/" TargetMode="External"/><Relationship Id="rId266" Type="http://schemas.openxmlformats.org/officeDocument/2006/relationships/hyperlink" Target="http://yale.instructure.com/" TargetMode="External"/><Relationship Id="rId287" Type="http://schemas.openxmlformats.org/officeDocument/2006/relationships/hyperlink" Target="http://yale.instructure.com/" TargetMode="External"/><Relationship Id="rId30" Type="http://schemas.openxmlformats.org/officeDocument/2006/relationships/hyperlink" Target="http://yale.instructure.com/" TargetMode="External"/><Relationship Id="rId105" Type="http://schemas.openxmlformats.org/officeDocument/2006/relationships/hyperlink" Target="http://yale.instructure.com/" TargetMode="External"/><Relationship Id="rId126" Type="http://schemas.openxmlformats.org/officeDocument/2006/relationships/hyperlink" Target="http://yale.instructure.com/" TargetMode="External"/><Relationship Id="rId147" Type="http://schemas.openxmlformats.org/officeDocument/2006/relationships/hyperlink" Target="http://yale.instructure.com/" TargetMode="External"/><Relationship Id="rId168" Type="http://schemas.openxmlformats.org/officeDocument/2006/relationships/hyperlink" Target="http://yale.instructure.com/" TargetMode="External"/><Relationship Id="rId312" Type="http://schemas.openxmlformats.org/officeDocument/2006/relationships/hyperlink" Target="http://yale.instructure.com/" TargetMode="External"/><Relationship Id="rId333" Type="http://schemas.openxmlformats.org/officeDocument/2006/relationships/hyperlink" Target="http://yale.instructure.com/" TargetMode="External"/><Relationship Id="rId354" Type="http://schemas.openxmlformats.org/officeDocument/2006/relationships/hyperlink" Target="http://yale.instructure.com/" TargetMode="External"/><Relationship Id="rId51" Type="http://schemas.openxmlformats.org/officeDocument/2006/relationships/hyperlink" Target="http://yale.instructure.com/" TargetMode="External"/><Relationship Id="rId72" Type="http://schemas.openxmlformats.org/officeDocument/2006/relationships/hyperlink" Target="http://yale.instructure.com/" TargetMode="External"/><Relationship Id="rId93" Type="http://schemas.openxmlformats.org/officeDocument/2006/relationships/hyperlink" Target="http://yale.instructure.com/" TargetMode="External"/><Relationship Id="rId189" Type="http://schemas.openxmlformats.org/officeDocument/2006/relationships/hyperlink" Target="http://yale.instructure.com/" TargetMode="External"/><Relationship Id="rId3" Type="http://schemas.openxmlformats.org/officeDocument/2006/relationships/hyperlink" Target="http://yale.instructure.com/" TargetMode="External"/><Relationship Id="rId214" Type="http://schemas.openxmlformats.org/officeDocument/2006/relationships/hyperlink" Target="http://yale.instructure.com/" TargetMode="External"/><Relationship Id="rId235" Type="http://schemas.openxmlformats.org/officeDocument/2006/relationships/hyperlink" Target="http://yale.instructure.com/" TargetMode="External"/><Relationship Id="rId256" Type="http://schemas.openxmlformats.org/officeDocument/2006/relationships/hyperlink" Target="http://yale.instructure.com/" TargetMode="External"/><Relationship Id="rId277" Type="http://schemas.openxmlformats.org/officeDocument/2006/relationships/hyperlink" Target="http://yale.instructure.com/" TargetMode="External"/><Relationship Id="rId298" Type="http://schemas.openxmlformats.org/officeDocument/2006/relationships/hyperlink" Target="http://yale.instructure.com/" TargetMode="External"/><Relationship Id="rId116" Type="http://schemas.openxmlformats.org/officeDocument/2006/relationships/hyperlink" Target="http://yale.instructure.com/" TargetMode="External"/><Relationship Id="rId137" Type="http://schemas.openxmlformats.org/officeDocument/2006/relationships/hyperlink" Target="http://yale.instructure.com/" TargetMode="External"/><Relationship Id="rId158" Type="http://schemas.openxmlformats.org/officeDocument/2006/relationships/hyperlink" Target="http://yale.instructure.com/" TargetMode="External"/><Relationship Id="rId302" Type="http://schemas.openxmlformats.org/officeDocument/2006/relationships/hyperlink" Target="http://yale.instructure.com/" TargetMode="External"/><Relationship Id="rId323" Type="http://schemas.openxmlformats.org/officeDocument/2006/relationships/hyperlink" Target="http://yale.instructure.com/" TargetMode="External"/><Relationship Id="rId344" Type="http://schemas.openxmlformats.org/officeDocument/2006/relationships/hyperlink" Target="http://yale.instructure.com/" TargetMode="External"/><Relationship Id="rId20" Type="http://schemas.openxmlformats.org/officeDocument/2006/relationships/hyperlink" Target="http://yale.instructure.com/" TargetMode="External"/><Relationship Id="rId41" Type="http://schemas.openxmlformats.org/officeDocument/2006/relationships/hyperlink" Target="http://yale.instructure.com/" TargetMode="External"/><Relationship Id="rId62" Type="http://schemas.openxmlformats.org/officeDocument/2006/relationships/hyperlink" Target="http://yale.instructure.com/" TargetMode="External"/><Relationship Id="rId83" Type="http://schemas.openxmlformats.org/officeDocument/2006/relationships/hyperlink" Target="http://yale.instructure.com/" TargetMode="External"/><Relationship Id="rId179" Type="http://schemas.openxmlformats.org/officeDocument/2006/relationships/hyperlink" Target="http://yale.instructu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"/>
  <sheetViews>
    <sheetView tabSelected="1" workbookViewId="0">
      <selection activeCell="F3" sqref="F3"/>
    </sheetView>
  </sheetViews>
  <sheetFormatPr defaultRowHeight="14.4"/>
  <cols>
    <col min="6" max="6" width="14.44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753</v>
      </c>
      <c r="L1" t="s">
        <v>754</v>
      </c>
      <c r="M1" t="s">
        <v>757</v>
      </c>
      <c r="N1" t="s">
        <v>763</v>
      </c>
    </row>
    <row r="2" spans="1:19">
      <c r="Q2" t="s">
        <v>762</v>
      </c>
      <c r="R2" t="s">
        <v>764</v>
      </c>
      <c r="S2" t="s">
        <v>765</v>
      </c>
    </row>
    <row r="3" spans="1:19">
      <c r="A3" t="s">
        <v>10</v>
      </c>
      <c r="G3">
        <v>10</v>
      </c>
      <c r="H3">
        <v>10</v>
      </c>
      <c r="I3">
        <v>10</v>
      </c>
      <c r="J3">
        <v>180</v>
      </c>
      <c r="K3">
        <v>10</v>
      </c>
      <c r="P3" t="s">
        <v>758</v>
      </c>
      <c r="Q3" s="38">
        <v>91.333333333333343</v>
      </c>
      <c r="R3">
        <f>COUNTIF($N$4:$N$361,P3)</f>
        <v>34</v>
      </c>
      <c r="S3" s="37">
        <f>R3/SUM($R$3:$R$6)</f>
        <v>0.1027190332326284</v>
      </c>
    </row>
    <row r="4" spans="1:19">
      <c r="A4" t="s">
        <v>15</v>
      </c>
      <c r="B4">
        <v>87811</v>
      </c>
      <c r="C4">
        <v>17547995</v>
      </c>
      <c r="D4" t="s">
        <v>16</v>
      </c>
      <c r="E4" t="s">
        <v>13</v>
      </c>
      <c r="F4" t="s">
        <v>17</v>
      </c>
      <c r="G4">
        <v>0</v>
      </c>
      <c r="J4" t="e">
        <f>VLOOKUP(C4,exam!$D$29:$V$359,19,0)</f>
        <v>#N/A</v>
      </c>
      <c r="K4">
        <v>10</v>
      </c>
      <c r="L4" s="43" t="e">
        <f t="shared" ref="L4:L67" si="0">SUM(K4,I4,H4,G4)+J4/3</f>
        <v>#N/A</v>
      </c>
      <c r="M4" s="43" t="str">
        <f t="shared" ref="M4:M67" si="1">IF(ISERROR(L4),"",L4)</f>
        <v/>
      </c>
      <c r="N4" t="str">
        <f t="shared" ref="N4:N35" si="2">IF(M4="","",IF(M4&gt;=$Q$3,$P$3,IF(M4&gt;=$Q$4,$P$4,IF(M4&gt;=$Q$5,$P$5,"P"))))</f>
        <v/>
      </c>
      <c r="P4" t="s">
        <v>759</v>
      </c>
      <c r="Q4" s="38">
        <v>85.224999999999994</v>
      </c>
      <c r="R4">
        <f>COUNTIF($N$4:$N$361,P4)</f>
        <v>83</v>
      </c>
      <c r="S4" s="37">
        <f t="shared" ref="S4:S7" si="3">R4/SUM($R$3:$R$6)</f>
        <v>0.25075528700906347</v>
      </c>
    </row>
    <row r="5" spans="1:19">
      <c r="A5" t="s">
        <v>28</v>
      </c>
      <c r="B5">
        <v>107576</v>
      </c>
      <c r="C5">
        <v>24086292</v>
      </c>
      <c r="D5" t="s">
        <v>29</v>
      </c>
      <c r="E5" t="s">
        <v>13</v>
      </c>
      <c r="F5" t="s">
        <v>17</v>
      </c>
      <c r="G5">
        <v>9</v>
      </c>
      <c r="H5">
        <v>9.75</v>
      </c>
      <c r="I5">
        <v>9.6</v>
      </c>
      <c r="J5">
        <f>VLOOKUP(C5,exam!$D$29:$V$359,19,0)</f>
        <v>88.5</v>
      </c>
      <c r="K5">
        <v>10</v>
      </c>
      <c r="L5" s="43">
        <f t="shared" si="0"/>
        <v>67.849999999999994</v>
      </c>
      <c r="M5" s="43">
        <f t="shared" si="1"/>
        <v>67.849999999999994</v>
      </c>
      <c r="N5" t="str">
        <f t="shared" si="2"/>
        <v>P</v>
      </c>
      <c r="P5" t="s">
        <v>760</v>
      </c>
      <c r="Q5" s="38">
        <v>68.333333333333329</v>
      </c>
      <c r="R5">
        <f>COUNTIF($N$4:$N$361,P5)</f>
        <v>185</v>
      </c>
      <c r="S5" s="37">
        <f t="shared" si="3"/>
        <v>0.55891238670694865</v>
      </c>
    </row>
    <row r="6" spans="1:19">
      <c r="A6" t="s">
        <v>30</v>
      </c>
      <c r="B6">
        <v>107186</v>
      </c>
      <c r="C6">
        <v>24079883</v>
      </c>
      <c r="D6" t="s">
        <v>31</v>
      </c>
      <c r="E6" t="s">
        <v>13</v>
      </c>
      <c r="F6" t="s">
        <v>17</v>
      </c>
      <c r="G6">
        <v>6</v>
      </c>
      <c r="H6">
        <v>9.25</v>
      </c>
      <c r="I6">
        <v>9</v>
      </c>
      <c r="J6">
        <f>VLOOKUP(C6,exam!$D$29:$V$359,19,0)</f>
        <v>102.5</v>
      </c>
      <c r="K6">
        <v>10</v>
      </c>
      <c r="L6" s="43">
        <f t="shared" si="0"/>
        <v>68.416666666666657</v>
      </c>
      <c r="M6" s="43">
        <f t="shared" si="1"/>
        <v>68.416666666666657</v>
      </c>
      <c r="N6" t="str">
        <f t="shared" si="2"/>
        <v>PR</v>
      </c>
      <c r="P6" t="s">
        <v>761</v>
      </c>
      <c r="R6">
        <f>COUNTIF($N$4:$N$361,P6)</f>
        <v>29</v>
      </c>
      <c r="S6" s="37">
        <f t="shared" si="3"/>
        <v>8.7613293051359523E-2</v>
      </c>
    </row>
    <row r="7" spans="1:19">
      <c r="A7" t="s">
        <v>36</v>
      </c>
      <c r="B7">
        <v>113866</v>
      </c>
      <c r="C7">
        <v>24182002</v>
      </c>
      <c r="D7" t="s">
        <v>37</v>
      </c>
      <c r="E7" t="s">
        <v>13</v>
      </c>
      <c r="F7" t="s">
        <v>17</v>
      </c>
      <c r="G7">
        <v>8</v>
      </c>
      <c r="H7">
        <v>10</v>
      </c>
      <c r="I7">
        <v>10</v>
      </c>
      <c r="J7">
        <f>VLOOKUP(C7,exam!$D$29:$V$359,19,0)</f>
        <v>106</v>
      </c>
      <c r="K7">
        <v>10</v>
      </c>
      <c r="L7" s="43">
        <f t="shared" si="0"/>
        <v>73.333333333333343</v>
      </c>
      <c r="M7" s="43">
        <f t="shared" si="1"/>
        <v>73.333333333333343</v>
      </c>
      <c r="N7" t="str">
        <f t="shared" si="2"/>
        <v>PR</v>
      </c>
      <c r="P7" t="s">
        <v>766</v>
      </c>
      <c r="R7">
        <f>COUNTIF($N$4:$N$361,P7)</f>
        <v>2</v>
      </c>
      <c r="S7" s="37">
        <f t="shared" si="3"/>
        <v>6.0422960725075529E-3</v>
      </c>
    </row>
    <row r="8" spans="1:19">
      <c r="A8" t="s">
        <v>45</v>
      </c>
      <c r="B8">
        <v>103880</v>
      </c>
      <c r="C8">
        <v>24037026</v>
      </c>
      <c r="D8" t="s">
        <v>46</v>
      </c>
      <c r="E8" t="s">
        <v>13</v>
      </c>
      <c r="F8" t="s">
        <v>17</v>
      </c>
      <c r="G8">
        <v>10</v>
      </c>
      <c r="H8">
        <v>10</v>
      </c>
      <c r="I8">
        <v>9.6</v>
      </c>
      <c r="J8">
        <f>VLOOKUP(C8,exam!$D$29:$V$359,19,0)</f>
        <v>156</v>
      </c>
      <c r="K8">
        <v>10</v>
      </c>
      <c r="L8" s="43">
        <f t="shared" si="0"/>
        <v>91.6</v>
      </c>
      <c r="M8" s="43">
        <f t="shared" si="1"/>
        <v>91.6</v>
      </c>
      <c r="N8" t="str">
        <f t="shared" si="2"/>
        <v>HH</v>
      </c>
    </row>
    <row r="9" spans="1:19">
      <c r="A9" t="s">
        <v>63</v>
      </c>
      <c r="B9">
        <v>103838</v>
      </c>
      <c r="C9">
        <v>24036006</v>
      </c>
      <c r="D9" t="s">
        <v>64</v>
      </c>
      <c r="E9" t="s">
        <v>13</v>
      </c>
      <c r="F9" t="s">
        <v>17</v>
      </c>
      <c r="G9">
        <v>10</v>
      </c>
      <c r="H9">
        <v>9</v>
      </c>
      <c r="I9">
        <v>10</v>
      </c>
      <c r="J9">
        <f>VLOOKUP(C9,exam!$D$29:$V$359,19,0)</f>
        <v>104.5</v>
      </c>
      <c r="K9">
        <v>10</v>
      </c>
      <c r="L9" s="43">
        <f t="shared" si="0"/>
        <v>73.833333333333343</v>
      </c>
      <c r="M9" s="43">
        <f t="shared" si="1"/>
        <v>73.833333333333343</v>
      </c>
      <c r="N9" t="str">
        <f t="shared" si="2"/>
        <v>PR</v>
      </c>
    </row>
    <row r="10" spans="1:19">
      <c r="A10" t="s">
        <v>69</v>
      </c>
      <c r="B10">
        <v>104189</v>
      </c>
      <c r="C10">
        <v>24035955</v>
      </c>
      <c r="D10" t="s">
        <v>70</v>
      </c>
      <c r="E10" t="s">
        <v>13</v>
      </c>
      <c r="F10" t="s">
        <v>17</v>
      </c>
      <c r="G10">
        <v>10</v>
      </c>
      <c r="H10">
        <v>9</v>
      </c>
      <c r="I10">
        <v>10</v>
      </c>
      <c r="J10">
        <f>VLOOKUP(C10,exam!$D$29:$V$359,19,0)</f>
        <v>109.5</v>
      </c>
      <c r="K10">
        <v>10</v>
      </c>
      <c r="L10" s="43">
        <f t="shared" si="0"/>
        <v>75.5</v>
      </c>
      <c r="M10" s="43">
        <f t="shared" si="1"/>
        <v>75.5</v>
      </c>
      <c r="N10" t="str">
        <f t="shared" si="2"/>
        <v>PR</v>
      </c>
    </row>
    <row r="11" spans="1:19">
      <c r="A11" t="s">
        <v>73</v>
      </c>
      <c r="B11">
        <v>111738</v>
      </c>
      <c r="C11">
        <v>24151232</v>
      </c>
      <c r="D11" t="s">
        <v>74</v>
      </c>
      <c r="E11" t="s">
        <v>13</v>
      </c>
      <c r="F11" t="s">
        <v>17</v>
      </c>
      <c r="G11">
        <v>10</v>
      </c>
      <c r="H11">
        <v>10</v>
      </c>
      <c r="I11">
        <v>10</v>
      </c>
      <c r="J11">
        <f>VLOOKUP(C11,exam!$D$29:$V$359,19,0)</f>
        <v>154.5</v>
      </c>
      <c r="K11">
        <v>10</v>
      </c>
      <c r="L11" s="43">
        <f t="shared" si="0"/>
        <v>91.5</v>
      </c>
      <c r="M11" s="43">
        <f t="shared" si="1"/>
        <v>91.5</v>
      </c>
      <c r="N11" t="str">
        <f t="shared" si="2"/>
        <v>HH</v>
      </c>
    </row>
    <row r="12" spans="1:19">
      <c r="A12" t="s">
        <v>77</v>
      </c>
      <c r="B12">
        <v>91806</v>
      </c>
      <c r="C12">
        <v>17595782</v>
      </c>
      <c r="D12" t="s">
        <v>78</v>
      </c>
      <c r="E12" t="s">
        <v>13</v>
      </c>
      <c r="F12" t="s">
        <v>17</v>
      </c>
      <c r="G12">
        <v>0</v>
      </c>
      <c r="I12">
        <v>0</v>
      </c>
      <c r="J12" t="e">
        <f>VLOOKUP(C12,exam!$D$29:$V$359,19,0)</f>
        <v>#N/A</v>
      </c>
      <c r="K12">
        <v>10</v>
      </c>
      <c r="L12" s="43" t="e">
        <f t="shared" si="0"/>
        <v>#N/A</v>
      </c>
      <c r="M12" s="43" t="str">
        <f t="shared" si="1"/>
        <v/>
      </c>
      <c r="N12" t="str">
        <f t="shared" si="2"/>
        <v/>
      </c>
    </row>
    <row r="13" spans="1:19">
      <c r="A13" t="s">
        <v>81</v>
      </c>
      <c r="B13">
        <v>110923</v>
      </c>
      <c r="C13">
        <v>13405066</v>
      </c>
      <c r="D13" t="s">
        <v>82</v>
      </c>
      <c r="E13" t="s">
        <v>13</v>
      </c>
      <c r="F13" t="s">
        <v>17</v>
      </c>
      <c r="G13">
        <v>9</v>
      </c>
      <c r="H13">
        <v>8.75</v>
      </c>
      <c r="I13">
        <v>10</v>
      </c>
      <c r="J13">
        <f>VLOOKUP(C13,exam!$D$29:$V$359,19,0)</f>
        <v>115.5</v>
      </c>
      <c r="K13">
        <v>10</v>
      </c>
      <c r="L13" s="43">
        <f t="shared" si="0"/>
        <v>76.25</v>
      </c>
      <c r="M13" s="43">
        <f t="shared" si="1"/>
        <v>76.25</v>
      </c>
      <c r="N13" t="str">
        <f t="shared" si="2"/>
        <v>PR</v>
      </c>
    </row>
    <row r="14" spans="1:19">
      <c r="A14" t="s">
        <v>97</v>
      </c>
      <c r="B14">
        <v>107954</v>
      </c>
      <c r="C14">
        <v>24092871</v>
      </c>
      <c r="D14" t="s">
        <v>98</v>
      </c>
      <c r="E14" t="s">
        <v>13</v>
      </c>
      <c r="F14" t="s">
        <v>17</v>
      </c>
      <c r="G14">
        <v>10</v>
      </c>
      <c r="H14">
        <v>10</v>
      </c>
      <c r="I14">
        <v>10</v>
      </c>
      <c r="J14">
        <f>VLOOKUP(C14,exam!$D$29:$V$359,19,0)</f>
        <v>159</v>
      </c>
      <c r="K14">
        <v>10</v>
      </c>
      <c r="L14" s="43">
        <f t="shared" si="0"/>
        <v>93</v>
      </c>
      <c r="M14" s="43">
        <f t="shared" si="1"/>
        <v>93</v>
      </c>
      <c r="N14" t="str">
        <f t="shared" si="2"/>
        <v>HH</v>
      </c>
    </row>
    <row r="15" spans="1:19">
      <c r="A15" t="s">
        <v>103</v>
      </c>
      <c r="B15">
        <v>104456</v>
      </c>
      <c r="C15">
        <v>24036601</v>
      </c>
      <c r="D15" t="s">
        <v>104</v>
      </c>
      <c r="E15" t="s">
        <v>13</v>
      </c>
      <c r="F15" t="s">
        <v>17</v>
      </c>
      <c r="G15">
        <v>9.5</v>
      </c>
      <c r="H15">
        <v>10</v>
      </c>
      <c r="I15">
        <v>9.8000000000000007</v>
      </c>
      <c r="J15">
        <f>VLOOKUP(C15,exam!$D$29:$V$359,19,0)</f>
        <v>150</v>
      </c>
      <c r="K15">
        <v>10</v>
      </c>
      <c r="L15" s="43">
        <f t="shared" si="0"/>
        <v>89.3</v>
      </c>
      <c r="M15" s="43">
        <f t="shared" si="1"/>
        <v>89.3</v>
      </c>
      <c r="N15" t="str">
        <f t="shared" si="2"/>
        <v>H</v>
      </c>
    </row>
    <row r="16" spans="1:19">
      <c r="A16" t="s">
        <v>111</v>
      </c>
      <c r="B16">
        <v>110277</v>
      </c>
      <c r="C16">
        <v>24129370</v>
      </c>
      <c r="D16" t="s">
        <v>112</v>
      </c>
      <c r="E16" t="s">
        <v>13</v>
      </c>
      <c r="F16" t="s">
        <v>17</v>
      </c>
      <c r="G16">
        <v>10</v>
      </c>
      <c r="H16">
        <v>9.25</v>
      </c>
      <c r="I16">
        <v>10</v>
      </c>
      <c r="J16">
        <f>VLOOKUP(C16,exam!$D$29:$V$359,19,0)</f>
        <v>150.5</v>
      </c>
      <c r="K16">
        <v>10</v>
      </c>
      <c r="L16" s="43">
        <f t="shared" si="0"/>
        <v>89.416666666666657</v>
      </c>
      <c r="M16" s="43">
        <f t="shared" si="1"/>
        <v>89.416666666666657</v>
      </c>
      <c r="N16" t="str">
        <f t="shared" si="2"/>
        <v>H</v>
      </c>
    </row>
    <row r="17" spans="1:14">
      <c r="A17" t="s">
        <v>119</v>
      </c>
      <c r="B17">
        <v>104572</v>
      </c>
      <c r="C17">
        <v>24036295</v>
      </c>
      <c r="D17" t="s">
        <v>120</v>
      </c>
      <c r="E17" t="s">
        <v>13</v>
      </c>
      <c r="F17" t="s">
        <v>17</v>
      </c>
      <c r="G17">
        <v>9</v>
      </c>
      <c r="H17">
        <v>9</v>
      </c>
      <c r="I17">
        <v>9</v>
      </c>
      <c r="J17">
        <f>VLOOKUP(C17,exam!$D$29:$V$359,19,0)</f>
        <v>137.5</v>
      </c>
      <c r="K17">
        <v>10</v>
      </c>
      <c r="L17" s="43">
        <f t="shared" si="0"/>
        <v>82.833333333333343</v>
      </c>
      <c r="M17" s="43">
        <f t="shared" si="1"/>
        <v>82.833333333333343</v>
      </c>
      <c r="N17" t="str">
        <f t="shared" si="2"/>
        <v>PR</v>
      </c>
    </row>
    <row r="18" spans="1:14">
      <c r="A18" t="s">
        <v>121</v>
      </c>
      <c r="B18">
        <v>104377</v>
      </c>
      <c r="C18">
        <v>24036533</v>
      </c>
      <c r="D18" t="s">
        <v>122</v>
      </c>
      <c r="E18" t="s">
        <v>13</v>
      </c>
      <c r="F18" t="s">
        <v>17</v>
      </c>
      <c r="G18">
        <v>8.5</v>
      </c>
      <c r="H18">
        <v>10</v>
      </c>
      <c r="I18">
        <v>10</v>
      </c>
      <c r="J18">
        <f>VLOOKUP(C18,exam!$D$29:$V$359,19,0)</f>
        <v>146</v>
      </c>
      <c r="K18">
        <v>10</v>
      </c>
      <c r="L18" s="43">
        <f t="shared" si="0"/>
        <v>87.166666666666657</v>
      </c>
      <c r="M18" s="43">
        <f t="shared" si="1"/>
        <v>87.166666666666657</v>
      </c>
      <c r="N18" t="str">
        <f t="shared" si="2"/>
        <v>H</v>
      </c>
    </row>
    <row r="19" spans="1:14">
      <c r="A19" t="s">
        <v>127</v>
      </c>
      <c r="B19">
        <v>113500</v>
      </c>
      <c r="C19">
        <v>24176494</v>
      </c>
      <c r="D19" t="s">
        <v>128</v>
      </c>
      <c r="E19" t="s">
        <v>13</v>
      </c>
      <c r="F19" t="s">
        <v>17</v>
      </c>
      <c r="G19">
        <v>10</v>
      </c>
      <c r="H19">
        <v>10</v>
      </c>
      <c r="I19">
        <v>10</v>
      </c>
      <c r="J19">
        <f>VLOOKUP(C19,exam!$D$29:$V$359,19,0)</f>
        <v>161.5</v>
      </c>
      <c r="K19">
        <v>10</v>
      </c>
      <c r="L19" s="43">
        <f t="shared" si="0"/>
        <v>93.833333333333343</v>
      </c>
      <c r="M19" s="43">
        <f t="shared" si="1"/>
        <v>93.833333333333343</v>
      </c>
      <c r="N19" t="str">
        <f t="shared" si="2"/>
        <v>HH</v>
      </c>
    </row>
    <row r="20" spans="1:14">
      <c r="A20" t="s">
        <v>131</v>
      </c>
      <c r="B20">
        <v>112481</v>
      </c>
      <c r="C20">
        <v>24162928</v>
      </c>
      <c r="D20" t="s">
        <v>132</v>
      </c>
      <c r="E20" t="s">
        <v>13</v>
      </c>
      <c r="F20" t="s">
        <v>17</v>
      </c>
      <c r="G20">
        <v>9.5</v>
      </c>
      <c r="H20">
        <v>10</v>
      </c>
      <c r="I20">
        <v>10</v>
      </c>
      <c r="J20">
        <f>VLOOKUP(C20,exam!$D$29:$V$359,19,0)</f>
        <v>131.5</v>
      </c>
      <c r="K20">
        <v>10</v>
      </c>
      <c r="L20" s="43">
        <f t="shared" si="0"/>
        <v>83.333333333333343</v>
      </c>
      <c r="M20" s="43">
        <f t="shared" si="1"/>
        <v>83.333333333333343</v>
      </c>
      <c r="N20" t="str">
        <f t="shared" si="2"/>
        <v>PR</v>
      </c>
    </row>
    <row r="21" spans="1:14">
      <c r="A21" t="s">
        <v>133</v>
      </c>
      <c r="B21">
        <v>82127</v>
      </c>
      <c r="C21">
        <v>17469744</v>
      </c>
      <c r="D21" t="s">
        <v>134</v>
      </c>
      <c r="E21" t="s">
        <v>13</v>
      </c>
      <c r="F21" t="s">
        <v>17</v>
      </c>
      <c r="G21">
        <v>0</v>
      </c>
      <c r="I21">
        <v>0</v>
      </c>
      <c r="J21" t="e">
        <f>VLOOKUP(C21,exam!$D$29:$V$359,19,0)</f>
        <v>#N/A</v>
      </c>
      <c r="K21">
        <v>10</v>
      </c>
      <c r="L21" s="43" t="e">
        <f t="shared" si="0"/>
        <v>#N/A</v>
      </c>
      <c r="M21" s="43" t="str">
        <f t="shared" si="1"/>
        <v/>
      </c>
      <c r="N21" t="str">
        <f t="shared" si="2"/>
        <v/>
      </c>
    </row>
    <row r="22" spans="1:14">
      <c r="A22" t="s">
        <v>143</v>
      </c>
      <c r="B22">
        <v>58424</v>
      </c>
      <c r="C22">
        <v>17221765</v>
      </c>
      <c r="D22" t="s">
        <v>144</v>
      </c>
      <c r="E22" t="s">
        <v>13</v>
      </c>
      <c r="F22" t="s">
        <v>17</v>
      </c>
      <c r="G22">
        <v>6.5</v>
      </c>
      <c r="H22">
        <v>9</v>
      </c>
      <c r="I22">
        <v>10</v>
      </c>
      <c r="J22">
        <f>VLOOKUP(C22,exam!$D$29:$V$359,19,0)</f>
        <v>131</v>
      </c>
      <c r="K22">
        <v>10</v>
      </c>
      <c r="L22" s="43">
        <f t="shared" si="0"/>
        <v>79.166666666666657</v>
      </c>
      <c r="M22" s="43">
        <f t="shared" si="1"/>
        <v>79.166666666666657</v>
      </c>
      <c r="N22" t="str">
        <f t="shared" si="2"/>
        <v>PR</v>
      </c>
    </row>
    <row r="23" spans="1:14">
      <c r="A23" t="s">
        <v>155</v>
      </c>
      <c r="B23">
        <v>111175</v>
      </c>
      <c r="C23">
        <v>24143769</v>
      </c>
      <c r="D23" t="s">
        <v>156</v>
      </c>
      <c r="E23" t="s">
        <v>13</v>
      </c>
      <c r="F23" t="s">
        <v>17</v>
      </c>
      <c r="G23">
        <v>9</v>
      </c>
      <c r="H23">
        <v>10</v>
      </c>
      <c r="I23">
        <v>10</v>
      </c>
      <c r="J23">
        <f>VLOOKUP(C23,exam!$D$29:$V$359,19,0)</f>
        <v>117.5</v>
      </c>
      <c r="K23">
        <v>10</v>
      </c>
      <c r="L23" s="43">
        <f t="shared" si="0"/>
        <v>78.166666666666657</v>
      </c>
      <c r="M23" s="43">
        <f t="shared" si="1"/>
        <v>78.166666666666657</v>
      </c>
      <c r="N23" t="str">
        <f t="shared" si="2"/>
        <v>PR</v>
      </c>
    </row>
    <row r="24" spans="1:14">
      <c r="A24" t="s">
        <v>161</v>
      </c>
      <c r="B24">
        <v>17638</v>
      </c>
      <c r="C24">
        <v>15880589</v>
      </c>
      <c r="D24" t="s">
        <v>162</v>
      </c>
      <c r="E24" t="s">
        <v>13</v>
      </c>
      <c r="F24" t="s">
        <v>17</v>
      </c>
      <c r="G24">
        <v>0</v>
      </c>
      <c r="I24">
        <v>0</v>
      </c>
      <c r="J24" t="e">
        <f>VLOOKUP(C24,exam!$D$29:$V$359,19,0)</f>
        <v>#N/A</v>
      </c>
      <c r="K24">
        <v>10</v>
      </c>
      <c r="L24" s="43" t="e">
        <f t="shared" si="0"/>
        <v>#N/A</v>
      </c>
      <c r="M24" s="43" t="str">
        <f t="shared" si="1"/>
        <v/>
      </c>
      <c r="N24" t="str">
        <f t="shared" si="2"/>
        <v/>
      </c>
    </row>
    <row r="25" spans="1:14">
      <c r="A25" t="s">
        <v>165</v>
      </c>
      <c r="B25">
        <v>103988</v>
      </c>
      <c r="C25">
        <v>24035717</v>
      </c>
      <c r="D25" t="s">
        <v>166</v>
      </c>
      <c r="E25" t="s">
        <v>13</v>
      </c>
      <c r="F25" t="s">
        <v>17</v>
      </c>
      <c r="G25">
        <v>9.5</v>
      </c>
      <c r="H25">
        <v>10</v>
      </c>
      <c r="I25">
        <v>10</v>
      </c>
      <c r="J25">
        <f>VLOOKUP(C25,exam!$D$29:$V$359,19,0)</f>
        <v>151.5</v>
      </c>
      <c r="K25">
        <v>10</v>
      </c>
      <c r="L25" s="43">
        <f t="shared" si="0"/>
        <v>90</v>
      </c>
      <c r="M25" s="43">
        <f t="shared" si="1"/>
        <v>90</v>
      </c>
      <c r="N25" t="str">
        <f t="shared" si="2"/>
        <v>H</v>
      </c>
    </row>
    <row r="26" spans="1:14">
      <c r="A26" t="s">
        <v>179</v>
      </c>
      <c r="B26">
        <v>82016</v>
      </c>
      <c r="C26">
        <v>17469812</v>
      </c>
      <c r="D26" t="s">
        <v>180</v>
      </c>
      <c r="E26" t="s">
        <v>13</v>
      </c>
      <c r="F26" t="s">
        <v>17</v>
      </c>
      <c r="G26">
        <v>0</v>
      </c>
      <c r="I26">
        <v>0</v>
      </c>
      <c r="J26" t="e">
        <f>VLOOKUP(C26,exam!$D$29:$V$359,19,0)</f>
        <v>#N/A</v>
      </c>
      <c r="K26">
        <v>10</v>
      </c>
      <c r="L26" s="43" t="e">
        <f t="shared" si="0"/>
        <v>#N/A</v>
      </c>
      <c r="M26" s="43" t="str">
        <f t="shared" si="1"/>
        <v/>
      </c>
      <c r="N26" t="str">
        <f t="shared" si="2"/>
        <v/>
      </c>
    </row>
    <row r="27" spans="1:14">
      <c r="A27" t="s">
        <v>187</v>
      </c>
      <c r="B27">
        <v>111140</v>
      </c>
      <c r="C27">
        <v>24143684</v>
      </c>
      <c r="D27" t="s">
        <v>188</v>
      </c>
      <c r="E27" t="s">
        <v>13</v>
      </c>
      <c r="F27" t="s">
        <v>17</v>
      </c>
      <c r="G27">
        <v>9</v>
      </c>
      <c r="H27">
        <v>10</v>
      </c>
      <c r="I27">
        <v>8</v>
      </c>
      <c r="J27">
        <v>110</v>
      </c>
      <c r="K27">
        <v>10</v>
      </c>
      <c r="L27" s="43">
        <f t="shared" si="0"/>
        <v>73.666666666666657</v>
      </c>
      <c r="M27" s="43">
        <f t="shared" si="1"/>
        <v>73.666666666666657</v>
      </c>
      <c r="N27" t="str">
        <f t="shared" si="2"/>
        <v>PR</v>
      </c>
    </row>
    <row r="28" spans="1:14">
      <c r="A28" t="s">
        <v>199</v>
      </c>
      <c r="B28">
        <v>104350</v>
      </c>
      <c r="C28">
        <v>24036465</v>
      </c>
      <c r="D28" t="s">
        <v>200</v>
      </c>
      <c r="E28" t="s">
        <v>13</v>
      </c>
      <c r="F28" t="s">
        <v>17</v>
      </c>
      <c r="G28">
        <v>9.5</v>
      </c>
      <c r="H28">
        <v>10</v>
      </c>
      <c r="I28">
        <v>10</v>
      </c>
      <c r="J28">
        <f>VLOOKUP(C28,exam!$D$29:$V$359,19,0)</f>
        <v>133.5</v>
      </c>
      <c r="K28">
        <v>10</v>
      </c>
      <c r="L28" s="43">
        <f t="shared" si="0"/>
        <v>84</v>
      </c>
      <c r="M28" s="43">
        <f t="shared" si="1"/>
        <v>84</v>
      </c>
      <c r="N28" t="str">
        <f t="shared" si="2"/>
        <v>PR</v>
      </c>
    </row>
    <row r="29" spans="1:14">
      <c r="A29" t="s">
        <v>209</v>
      </c>
      <c r="B29">
        <v>112891</v>
      </c>
      <c r="C29">
        <v>24168861</v>
      </c>
      <c r="D29" t="s">
        <v>210</v>
      </c>
      <c r="E29" t="s">
        <v>13</v>
      </c>
      <c r="F29" t="s">
        <v>17</v>
      </c>
      <c r="G29">
        <v>9</v>
      </c>
      <c r="H29">
        <v>10</v>
      </c>
      <c r="I29">
        <v>10</v>
      </c>
      <c r="J29">
        <f>VLOOKUP(C29,exam!$D$29:$V$359,19,0)</f>
        <v>155</v>
      </c>
      <c r="K29">
        <v>10</v>
      </c>
      <c r="L29" s="43">
        <f t="shared" si="0"/>
        <v>90.666666666666657</v>
      </c>
      <c r="M29" s="43">
        <f t="shared" si="1"/>
        <v>90.666666666666657</v>
      </c>
      <c r="N29" t="str">
        <f t="shared" si="2"/>
        <v>H</v>
      </c>
    </row>
    <row r="30" spans="1:14">
      <c r="A30" t="s">
        <v>213</v>
      </c>
      <c r="B30">
        <v>107776</v>
      </c>
      <c r="C30">
        <v>24089624</v>
      </c>
      <c r="D30" t="s">
        <v>214</v>
      </c>
      <c r="E30" t="s">
        <v>13</v>
      </c>
      <c r="F30" t="s">
        <v>17</v>
      </c>
      <c r="G30">
        <v>8</v>
      </c>
      <c r="H30">
        <v>9</v>
      </c>
      <c r="I30">
        <v>10</v>
      </c>
      <c r="J30">
        <f>VLOOKUP(C30,exam!$D$29:$V$359,19,0)</f>
        <v>122.5</v>
      </c>
      <c r="K30">
        <v>10</v>
      </c>
      <c r="L30" s="43">
        <f t="shared" si="0"/>
        <v>77.833333333333343</v>
      </c>
      <c r="M30" s="43">
        <f t="shared" si="1"/>
        <v>77.833333333333343</v>
      </c>
      <c r="N30" t="str">
        <f t="shared" si="2"/>
        <v>PR</v>
      </c>
    </row>
    <row r="31" spans="1:14">
      <c r="A31" t="s">
        <v>215</v>
      </c>
      <c r="B31">
        <v>111477</v>
      </c>
      <c r="C31">
        <v>24149192</v>
      </c>
      <c r="D31" t="s">
        <v>216</v>
      </c>
      <c r="E31" t="s">
        <v>13</v>
      </c>
      <c r="F31" t="s">
        <v>17</v>
      </c>
      <c r="G31">
        <v>9</v>
      </c>
      <c r="H31">
        <v>8.75</v>
      </c>
      <c r="I31">
        <v>10</v>
      </c>
      <c r="J31">
        <f>VLOOKUP(C31,exam!$D$29:$V$359,19,0)</f>
        <v>100</v>
      </c>
      <c r="K31">
        <v>10</v>
      </c>
      <c r="L31" s="43">
        <f t="shared" si="0"/>
        <v>71.083333333333343</v>
      </c>
      <c r="M31" s="43">
        <f t="shared" si="1"/>
        <v>71.083333333333343</v>
      </c>
      <c r="N31" t="str">
        <f t="shared" si="2"/>
        <v>PR</v>
      </c>
    </row>
    <row r="32" spans="1:14">
      <c r="A32" t="s">
        <v>233</v>
      </c>
      <c r="B32">
        <v>86879</v>
      </c>
      <c r="C32">
        <v>17533290</v>
      </c>
      <c r="D32" t="s">
        <v>234</v>
      </c>
      <c r="E32" t="s">
        <v>13</v>
      </c>
      <c r="F32" t="s">
        <v>17</v>
      </c>
      <c r="G32">
        <v>9</v>
      </c>
      <c r="H32">
        <v>10</v>
      </c>
      <c r="I32">
        <v>10</v>
      </c>
      <c r="J32">
        <f>VLOOKUP(C32,exam!$D$29:$V$359,19,0)</f>
        <v>122.5</v>
      </c>
      <c r="K32">
        <v>10</v>
      </c>
      <c r="L32" s="43">
        <f t="shared" si="0"/>
        <v>79.833333333333343</v>
      </c>
      <c r="M32" s="43">
        <f t="shared" si="1"/>
        <v>79.833333333333343</v>
      </c>
      <c r="N32" t="str">
        <f t="shared" si="2"/>
        <v>PR</v>
      </c>
    </row>
    <row r="33" spans="1:14">
      <c r="A33" t="s">
        <v>235</v>
      </c>
      <c r="B33">
        <v>113614</v>
      </c>
      <c r="C33">
        <v>24178194</v>
      </c>
      <c r="D33" t="s">
        <v>236</v>
      </c>
      <c r="E33" t="s">
        <v>13</v>
      </c>
      <c r="F33" t="s">
        <v>17</v>
      </c>
      <c r="G33">
        <v>7.5</v>
      </c>
      <c r="H33">
        <v>8.25</v>
      </c>
      <c r="I33">
        <v>9.8000000000000007</v>
      </c>
      <c r="J33">
        <f>VLOOKUP(C33,exam!$D$29:$V$359,19,0)</f>
        <v>122</v>
      </c>
      <c r="K33">
        <v>10</v>
      </c>
      <c r="L33" s="43">
        <f t="shared" si="0"/>
        <v>76.216666666666669</v>
      </c>
      <c r="M33" s="43">
        <f t="shared" si="1"/>
        <v>76.216666666666669</v>
      </c>
      <c r="N33" t="str">
        <f t="shared" si="2"/>
        <v>PR</v>
      </c>
    </row>
    <row r="34" spans="1:14">
      <c r="A34" t="s">
        <v>237</v>
      </c>
      <c r="B34">
        <v>91751</v>
      </c>
      <c r="C34">
        <v>17594269</v>
      </c>
      <c r="D34" t="s">
        <v>238</v>
      </c>
      <c r="E34" t="s">
        <v>13</v>
      </c>
      <c r="F34" t="s">
        <v>17</v>
      </c>
      <c r="G34">
        <v>0</v>
      </c>
      <c r="I34">
        <v>0</v>
      </c>
      <c r="J34" t="e">
        <f>VLOOKUP(C34,exam!$D$29:$V$359,19,0)</f>
        <v>#N/A</v>
      </c>
      <c r="K34">
        <v>10</v>
      </c>
      <c r="L34" s="43" t="e">
        <f t="shared" si="0"/>
        <v>#N/A</v>
      </c>
      <c r="M34" s="43" t="str">
        <f t="shared" si="1"/>
        <v/>
      </c>
      <c r="N34" t="str">
        <f t="shared" si="2"/>
        <v/>
      </c>
    </row>
    <row r="35" spans="1:14">
      <c r="A35" t="s">
        <v>247</v>
      </c>
      <c r="B35">
        <v>62265</v>
      </c>
      <c r="C35">
        <v>14312645</v>
      </c>
      <c r="D35" t="s">
        <v>248</v>
      </c>
      <c r="E35" t="s">
        <v>13</v>
      </c>
      <c r="F35" t="s">
        <v>17</v>
      </c>
      <c r="G35">
        <v>0</v>
      </c>
      <c r="I35">
        <v>0</v>
      </c>
      <c r="J35" t="e">
        <f>VLOOKUP(C35,exam!$D$29:$V$359,19,0)</f>
        <v>#N/A</v>
      </c>
      <c r="K35">
        <v>10</v>
      </c>
      <c r="L35" s="43" t="e">
        <f t="shared" si="0"/>
        <v>#N/A</v>
      </c>
      <c r="M35" s="43" t="str">
        <f t="shared" si="1"/>
        <v/>
      </c>
      <c r="N35" t="str">
        <f t="shared" si="2"/>
        <v/>
      </c>
    </row>
    <row r="36" spans="1:14">
      <c r="A36" t="s">
        <v>259</v>
      </c>
      <c r="B36">
        <v>81908</v>
      </c>
      <c r="C36">
        <v>17460734</v>
      </c>
      <c r="D36" t="s">
        <v>260</v>
      </c>
      <c r="E36" t="s">
        <v>13</v>
      </c>
      <c r="F36" t="s">
        <v>17</v>
      </c>
      <c r="G36">
        <v>0</v>
      </c>
      <c r="I36">
        <v>0</v>
      </c>
      <c r="J36" t="e">
        <f>VLOOKUP(C36,exam!$D$29:$V$359,19,0)</f>
        <v>#N/A</v>
      </c>
      <c r="K36">
        <v>10</v>
      </c>
      <c r="L36" s="43" t="e">
        <f t="shared" si="0"/>
        <v>#N/A</v>
      </c>
      <c r="M36" s="43" t="str">
        <f t="shared" si="1"/>
        <v/>
      </c>
      <c r="N36" t="str">
        <f t="shared" ref="N36:N67" si="4">IF(M36="","",IF(M36&gt;=$Q$3,$P$3,IF(M36&gt;=$Q$4,$P$4,IF(M36&gt;=$Q$5,$P$5,"P"))))</f>
        <v/>
      </c>
    </row>
    <row r="37" spans="1:14">
      <c r="A37" t="s">
        <v>267</v>
      </c>
      <c r="B37">
        <v>111737</v>
      </c>
      <c r="C37">
        <v>24151198</v>
      </c>
      <c r="D37" t="s">
        <v>268</v>
      </c>
      <c r="E37" t="s">
        <v>13</v>
      </c>
      <c r="F37" t="s">
        <v>17</v>
      </c>
      <c r="G37">
        <v>9</v>
      </c>
      <c r="H37">
        <v>9.5</v>
      </c>
      <c r="I37">
        <v>10</v>
      </c>
      <c r="J37">
        <f>VLOOKUP(C37,exam!$D$29:$V$359,19,0)</f>
        <v>122.5</v>
      </c>
      <c r="K37">
        <v>10</v>
      </c>
      <c r="L37" s="43">
        <f t="shared" si="0"/>
        <v>79.333333333333343</v>
      </c>
      <c r="M37" s="43">
        <f t="shared" si="1"/>
        <v>79.333333333333343</v>
      </c>
      <c r="N37" t="str">
        <f t="shared" si="4"/>
        <v>PR</v>
      </c>
    </row>
    <row r="38" spans="1:14">
      <c r="A38" t="s">
        <v>269</v>
      </c>
      <c r="B38">
        <v>87806</v>
      </c>
      <c r="C38">
        <v>17547723</v>
      </c>
      <c r="D38" t="s">
        <v>270</v>
      </c>
      <c r="E38" t="s">
        <v>13</v>
      </c>
      <c r="F38" t="s">
        <v>17</v>
      </c>
      <c r="G38">
        <v>0</v>
      </c>
      <c r="I38">
        <v>0</v>
      </c>
      <c r="J38" t="e">
        <f>VLOOKUP(C38,exam!$D$29:$V$359,19,0)</f>
        <v>#N/A</v>
      </c>
      <c r="K38">
        <v>10</v>
      </c>
      <c r="L38" s="43" t="e">
        <f t="shared" si="0"/>
        <v>#N/A</v>
      </c>
      <c r="M38" s="43" t="str">
        <f t="shared" si="1"/>
        <v/>
      </c>
      <c r="N38" t="str">
        <f t="shared" si="4"/>
        <v/>
      </c>
    </row>
    <row r="39" spans="1:14">
      <c r="A39" t="s">
        <v>279</v>
      </c>
      <c r="B39">
        <v>112206</v>
      </c>
      <c r="C39">
        <v>24158423</v>
      </c>
      <c r="D39" t="s">
        <v>280</v>
      </c>
      <c r="E39" t="s">
        <v>13</v>
      </c>
      <c r="F39" t="s">
        <v>17</v>
      </c>
      <c r="G39">
        <v>9</v>
      </c>
      <c r="H39">
        <v>9</v>
      </c>
      <c r="I39">
        <v>9.8000000000000007</v>
      </c>
      <c r="J39">
        <f>VLOOKUP(C39,exam!$D$29:$V$359,19,0)</f>
        <v>166.5</v>
      </c>
      <c r="K39">
        <v>10</v>
      </c>
      <c r="L39" s="43">
        <f t="shared" si="0"/>
        <v>93.3</v>
      </c>
      <c r="M39" s="43">
        <f t="shared" si="1"/>
        <v>93.3</v>
      </c>
      <c r="N39" t="str">
        <f t="shared" si="4"/>
        <v>HH</v>
      </c>
    </row>
    <row r="40" spans="1:14">
      <c r="A40" t="s">
        <v>283</v>
      </c>
      <c r="B40">
        <v>108803</v>
      </c>
      <c r="C40">
        <v>24105247</v>
      </c>
      <c r="D40" t="s">
        <v>284</v>
      </c>
      <c r="E40" t="s">
        <v>13</v>
      </c>
      <c r="F40" t="s">
        <v>17</v>
      </c>
      <c r="G40">
        <v>10</v>
      </c>
      <c r="H40">
        <v>9.75</v>
      </c>
      <c r="I40">
        <v>10</v>
      </c>
      <c r="J40">
        <f>VLOOKUP(C40,exam!$D$29:$V$359,19,0)</f>
        <v>138</v>
      </c>
      <c r="K40">
        <v>10</v>
      </c>
      <c r="L40" s="43">
        <f t="shared" si="0"/>
        <v>85.75</v>
      </c>
      <c r="M40" s="43">
        <f t="shared" si="1"/>
        <v>85.75</v>
      </c>
      <c r="N40" t="str">
        <f t="shared" si="4"/>
        <v>H</v>
      </c>
    </row>
    <row r="41" spans="1:14">
      <c r="A41" t="s">
        <v>285</v>
      </c>
      <c r="B41">
        <v>11847</v>
      </c>
      <c r="C41">
        <v>12395130</v>
      </c>
      <c r="D41" t="s">
        <v>286</v>
      </c>
      <c r="E41" t="s">
        <v>13</v>
      </c>
      <c r="F41" t="s">
        <v>17</v>
      </c>
      <c r="G41">
        <v>9</v>
      </c>
      <c r="H41">
        <v>9.5</v>
      </c>
      <c r="I41">
        <v>10</v>
      </c>
      <c r="J41">
        <f>VLOOKUP(C41,exam!$D$29:$V$359,19,0)</f>
        <v>130.5</v>
      </c>
      <c r="K41">
        <v>10</v>
      </c>
      <c r="L41" s="43">
        <f t="shared" si="0"/>
        <v>82</v>
      </c>
      <c r="M41" s="43">
        <f t="shared" si="1"/>
        <v>82</v>
      </c>
      <c r="N41" t="str">
        <f t="shared" si="4"/>
        <v>PR</v>
      </c>
    </row>
    <row r="42" spans="1:14">
      <c r="A42" t="s">
        <v>301</v>
      </c>
      <c r="B42">
        <v>59652</v>
      </c>
      <c r="C42">
        <v>17242930</v>
      </c>
      <c r="D42" t="s">
        <v>302</v>
      </c>
      <c r="E42" t="s">
        <v>13</v>
      </c>
      <c r="F42" t="s">
        <v>17</v>
      </c>
      <c r="G42">
        <v>9</v>
      </c>
      <c r="H42">
        <v>9.25</v>
      </c>
      <c r="I42">
        <v>10</v>
      </c>
      <c r="J42">
        <f>VLOOKUP(C42,exam!$D$29:$V$359,19,0)</f>
        <v>85.5</v>
      </c>
      <c r="K42">
        <v>10</v>
      </c>
      <c r="L42" s="43">
        <f t="shared" si="0"/>
        <v>66.75</v>
      </c>
      <c r="M42" s="43">
        <f t="shared" si="1"/>
        <v>66.75</v>
      </c>
      <c r="N42" t="str">
        <f t="shared" si="4"/>
        <v>P</v>
      </c>
    </row>
    <row r="43" spans="1:14">
      <c r="A43" t="s">
        <v>317</v>
      </c>
      <c r="B43">
        <v>107140</v>
      </c>
      <c r="C43">
        <v>24079322</v>
      </c>
      <c r="D43" t="s">
        <v>318</v>
      </c>
      <c r="E43" t="s">
        <v>13</v>
      </c>
      <c r="F43" t="s">
        <v>17</v>
      </c>
      <c r="G43">
        <v>8.5</v>
      </c>
      <c r="H43">
        <v>9.5</v>
      </c>
      <c r="I43">
        <v>10</v>
      </c>
      <c r="J43">
        <f>VLOOKUP(C43,exam!$D$29:$V$359,19,0)</f>
        <v>123</v>
      </c>
      <c r="K43">
        <v>10</v>
      </c>
      <c r="L43" s="43">
        <f t="shared" si="0"/>
        <v>79</v>
      </c>
      <c r="M43" s="43">
        <f t="shared" si="1"/>
        <v>79</v>
      </c>
      <c r="N43" t="str">
        <f t="shared" si="4"/>
        <v>PR</v>
      </c>
    </row>
    <row r="44" spans="1:14">
      <c r="A44" t="s">
        <v>321</v>
      </c>
      <c r="B44">
        <v>103846</v>
      </c>
      <c r="C44">
        <v>24037179</v>
      </c>
      <c r="D44" t="s">
        <v>322</v>
      </c>
      <c r="E44" t="s">
        <v>13</v>
      </c>
      <c r="F44" t="s">
        <v>17</v>
      </c>
      <c r="G44">
        <v>7</v>
      </c>
      <c r="H44">
        <v>9.75</v>
      </c>
      <c r="I44">
        <v>10</v>
      </c>
      <c r="J44">
        <f>VLOOKUP(C44,exam!$D$29:$V$359,19,0)</f>
        <v>147.5</v>
      </c>
      <c r="K44">
        <v>10</v>
      </c>
      <c r="L44" s="43">
        <f t="shared" si="0"/>
        <v>85.916666666666657</v>
      </c>
      <c r="M44" s="43">
        <f t="shared" si="1"/>
        <v>85.916666666666657</v>
      </c>
      <c r="N44" t="str">
        <f t="shared" si="4"/>
        <v>H</v>
      </c>
    </row>
    <row r="45" spans="1:14">
      <c r="A45" t="s">
        <v>331</v>
      </c>
      <c r="B45">
        <v>110994</v>
      </c>
      <c r="C45">
        <v>24140199</v>
      </c>
      <c r="D45" t="s">
        <v>332</v>
      </c>
      <c r="E45" t="s">
        <v>13</v>
      </c>
      <c r="F45" t="s">
        <v>17</v>
      </c>
      <c r="G45">
        <v>9</v>
      </c>
      <c r="H45">
        <v>9.75</v>
      </c>
      <c r="I45">
        <v>9.6</v>
      </c>
      <c r="J45">
        <f>VLOOKUP(C45,exam!$D$29:$V$359,19,0)</f>
        <v>135.5</v>
      </c>
      <c r="K45">
        <v>10</v>
      </c>
      <c r="L45" s="43">
        <f t="shared" si="0"/>
        <v>83.516666666666666</v>
      </c>
      <c r="M45" s="43">
        <f t="shared" si="1"/>
        <v>83.516666666666666</v>
      </c>
      <c r="N45" t="str">
        <f t="shared" si="4"/>
        <v>PR</v>
      </c>
    </row>
    <row r="46" spans="1:14">
      <c r="A46" t="s">
        <v>339</v>
      </c>
      <c r="B46">
        <v>112607</v>
      </c>
      <c r="C46">
        <v>24165172</v>
      </c>
      <c r="D46" t="s">
        <v>340</v>
      </c>
      <c r="E46" t="s">
        <v>13</v>
      </c>
      <c r="F46" t="s">
        <v>17</v>
      </c>
      <c r="G46">
        <v>9</v>
      </c>
      <c r="H46">
        <v>9.5</v>
      </c>
      <c r="I46">
        <v>10</v>
      </c>
      <c r="J46">
        <f>VLOOKUP(C46,exam!$D$29:$V$359,19,0)</f>
        <v>128.5</v>
      </c>
      <c r="K46">
        <v>10</v>
      </c>
      <c r="L46" s="43">
        <f t="shared" si="0"/>
        <v>81.333333333333343</v>
      </c>
      <c r="M46" s="43">
        <f t="shared" si="1"/>
        <v>81.333333333333343</v>
      </c>
      <c r="N46" t="str">
        <f t="shared" si="4"/>
        <v>PR</v>
      </c>
    </row>
    <row r="47" spans="1:14">
      <c r="A47" t="s">
        <v>355</v>
      </c>
      <c r="B47">
        <v>103915</v>
      </c>
      <c r="C47">
        <v>24035632</v>
      </c>
      <c r="D47" t="s">
        <v>356</v>
      </c>
      <c r="E47" t="s">
        <v>13</v>
      </c>
      <c r="F47" t="s">
        <v>17</v>
      </c>
      <c r="G47">
        <v>9</v>
      </c>
      <c r="H47">
        <v>9.75</v>
      </c>
      <c r="I47">
        <v>10</v>
      </c>
      <c r="J47">
        <f>VLOOKUP(C47,exam!$D$29:$V$359,19,0)</f>
        <v>171</v>
      </c>
      <c r="K47">
        <v>10</v>
      </c>
      <c r="L47" s="43">
        <f t="shared" si="0"/>
        <v>95.75</v>
      </c>
      <c r="M47" s="43">
        <f t="shared" si="1"/>
        <v>95.75</v>
      </c>
      <c r="N47" t="str">
        <f t="shared" si="4"/>
        <v>HH</v>
      </c>
    </row>
    <row r="48" spans="1:14">
      <c r="A48" t="s">
        <v>359</v>
      </c>
      <c r="B48">
        <v>110936</v>
      </c>
      <c r="C48">
        <v>12704683</v>
      </c>
      <c r="D48" t="s">
        <v>360</v>
      </c>
      <c r="E48" t="s">
        <v>13</v>
      </c>
      <c r="F48" t="s">
        <v>17</v>
      </c>
      <c r="G48">
        <v>9.5</v>
      </c>
      <c r="H48">
        <v>9.25</v>
      </c>
      <c r="I48">
        <v>10</v>
      </c>
      <c r="J48">
        <f>VLOOKUP(C48,exam!$D$29:$V$359,19,0)</f>
        <v>161</v>
      </c>
      <c r="K48">
        <v>10</v>
      </c>
      <c r="L48" s="43">
        <f t="shared" si="0"/>
        <v>92.416666666666657</v>
      </c>
      <c r="M48" s="43">
        <f t="shared" si="1"/>
        <v>92.416666666666657</v>
      </c>
      <c r="N48" t="str">
        <f t="shared" si="4"/>
        <v>HH</v>
      </c>
    </row>
    <row r="49" spans="1:14">
      <c r="A49" t="s">
        <v>371</v>
      </c>
      <c r="B49">
        <v>108462</v>
      </c>
      <c r="C49">
        <v>24099382</v>
      </c>
      <c r="D49" t="s">
        <v>372</v>
      </c>
      <c r="E49" t="s">
        <v>13</v>
      </c>
      <c r="F49" t="s">
        <v>17</v>
      </c>
      <c r="G49">
        <v>9.5</v>
      </c>
      <c r="H49">
        <v>10</v>
      </c>
      <c r="I49">
        <v>9</v>
      </c>
      <c r="J49">
        <f>VLOOKUP(C49,exam!$D$29:$V$359,19,0)</f>
        <v>169</v>
      </c>
      <c r="K49">
        <v>10</v>
      </c>
      <c r="L49" s="43">
        <f t="shared" si="0"/>
        <v>94.833333333333343</v>
      </c>
      <c r="M49" s="43">
        <f t="shared" si="1"/>
        <v>94.833333333333343</v>
      </c>
      <c r="N49" t="str">
        <f t="shared" si="4"/>
        <v>HH</v>
      </c>
    </row>
    <row r="50" spans="1:14">
      <c r="A50" t="s">
        <v>385</v>
      </c>
      <c r="B50">
        <v>104237</v>
      </c>
      <c r="C50">
        <v>24011815</v>
      </c>
      <c r="D50" t="s">
        <v>386</v>
      </c>
      <c r="E50" t="s">
        <v>13</v>
      </c>
      <c r="F50" t="s">
        <v>17</v>
      </c>
      <c r="G50">
        <v>9</v>
      </c>
      <c r="H50">
        <v>9.75</v>
      </c>
      <c r="I50">
        <v>10</v>
      </c>
      <c r="J50">
        <f>VLOOKUP(C50,exam!$D$29:$V$359,19,0)</f>
        <v>151</v>
      </c>
      <c r="K50">
        <v>10</v>
      </c>
      <c r="L50" s="43">
        <f t="shared" si="0"/>
        <v>89.083333333333343</v>
      </c>
      <c r="M50" s="43">
        <f t="shared" si="1"/>
        <v>89.083333333333343</v>
      </c>
      <c r="N50" t="str">
        <f t="shared" si="4"/>
        <v>H</v>
      </c>
    </row>
    <row r="51" spans="1:14">
      <c r="A51" t="s">
        <v>389</v>
      </c>
      <c r="B51">
        <v>108273</v>
      </c>
      <c r="C51">
        <v>24096985</v>
      </c>
      <c r="D51" t="s">
        <v>390</v>
      </c>
      <c r="E51" t="s">
        <v>13</v>
      </c>
      <c r="F51" t="s">
        <v>17</v>
      </c>
      <c r="G51">
        <v>9.5</v>
      </c>
      <c r="H51">
        <v>9.5</v>
      </c>
      <c r="I51">
        <v>10</v>
      </c>
      <c r="J51">
        <f>VLOOKUP(C51,exam!$D$29:$V$359,19,0)</f>
        <v>110</v>
      </c>
      <c r="K51">
        <v>10</v>
      </c>
      <c r="L51" s="43">
        <f t="shared" si="0"/>
        <v>75.666666666666657</v>
      </c>
      <c r="M51" s="43">
        <f t="shared" si="1"/>
        <v>75.666666666666657</v>
      </c>
      <c r="N51" t="str">
        <f t="shared" si="4"/>
        <v>PR</v>
      </c>
    </row>
    <row r="52" spans="1:14">
      <c r="A52" t="s">
        <v>395</v>
      </c>
      <c r="B52">
        <v>109616</v>
      </c>
      <c r="C52">
        <v>24119799</v>
      </c>
      <c r="D52" t="s">
        <v>396</v>
      </c>
      <c r="E52" t="s">
        <v>13</v>
      </c>
      <c r="F52" t="s">
        <v>17</v>
      </c>
      <c r="G52">
        <v>9</v>
      </c>
      <c r="H52">
        <v>9.5</v>
      </c>
      <c r="I52">
        <v>10</v>
      </c>
      <c r="J52">
        <f>VLOOKUP(C52,exam!$D$29:$V$359,19,0)</f>
        <v>164.5</v>
      </c>
      <c r="K52">
        <v>10</v>
      </c>
      <c r="L52" s="43">
        <f t="shared" si="0"/>
        <v>93.333333333333343</v>
      </c>
      <c r="M52" s="43">
        <f t="shared" si="1"/>
        <v>93.333333333333343</v>
      </c>
      <c r="N52" t="str">
        <f t="shared" si="4"/>
        <v>HH</v>
      </c>
    </row>
    <row r="53" spans="1:14">
      <c r="A53" t="s">
        <v>413</v>
      </c>
      <c r="B53">
        <v>107934</v>
      </c>
      <c r="C53">
        <v>24092786</v>
      </c>
      <c r="D53" t="s">
        <v>414</v>
      </c>
      <c r="E53" t="s">
        <v>13</v>
      </c>
      <c r="F53" t="s">
        <v>17</v>
      </c>
      <c r="G53">
        <v>9.5</v>
      </c>
      <c r="H53">
        <v>9.5</v>
      </c>
      <c r="I53">
        <v>9.5</v>
      </c>
      <c r="J53">
        <f>VLOOKUP(C53,exam!$D$29:$V$359,19,0)</f>
        <v>110.5</v>
      </c>
      <c r="K53">
        <v>10</v>
      </c>
      <c r="L53" s="43">
        <f t="shared" si="0"/>
        <v>75.333333333333343</v>
      </c>
      <c r="M53" s="43">
        <f t="shared" si="1"/>
        <v>75.333333333333343</v>
      </c>
      <c r="N53" t="str">
        <f t="shared" si="4"/>
        <v>PR</v>
      </c>
    </row>
    <row r="54" spans="1:14">
      <c r="A54" t="s">
        <v>423</v>
      </c>
      <c r="B54">
        <v>104554</v>
      </c>
      <c r="C54">
        <v>24011849</v>
      </c>
      <c r="D54" t="s">
        <v>424</v>
      </c>
      <c r="E54" t="s">
        <v>13</v>
      </c>
      <c r="F54" t="s">
        <v>17</v>
      </c>
      <c r="G54">
        <v>7.5</v>
      </c>
      <c r="H54">
        <v>9.5</v>
      </c>
      <c r="I54">
        <v>10</v>
      </c>
      <c r="J54">
        <f>VLOOKUP(C54,exam!$D$29:$V$359,19,0)</f>
        <v>118.5</v>
      </c>
      <c r="K54">
        <v>10</v>
      </c>
      <c r="L54" s="43">
        <f t="shared" si="0"/>
        <v>76.5</v>
      </c>
      <c r="M54" s="43">
        <f t="shared" si="1"/>
        <v>76.5</v>
      </c>
      <c r="N54" t="str">
        <f t="shared" si="4"/>
        <v>PR</v>
      </c>
    </row>
    <row r="55" spans="1:14">
      <c r="A55" t="s">
        <v>435</v>
      </c>
      <c r="B55">
        <v>58753</v>
      </c>
      <c r="C55">
        <v>17221102</v>
      </c>
      <c r="D55" t="s">
        <v>436</v>
      </c>
      <c r="E55" t="s">
        <v>13</v>
      </c>
      <c r="F55" t="s">
        <v>17</v>
      </c>
      <c r="G55">
        <v>0</v>
      </c>
      <c r="I55">
        <v>0</v>
      </c>
      <c r="J55" t="e">
        <f>VLOOKUP(C55,exam!$D$29:$V$359,19,0)</f>
        <v>#N/A</v>
      </c>
      <c r="K55">
        <v>10</v>
      </c>
      <c r="L55" s="43" t="e">
        <f t="shared" si="0"/>
        <v>#N/A</v>
      </c>
      <c r="M55" s="43" t="str">
        <f t="shared" si="1"/>
        <v/>
      </c>
      <c r="N55" t="str">
        <f t="shared" si="4"/>
        <v/>
      </c>
    </row>
    <row r="56" spans="1:14">
      <c r="A56" t="s">
        <v>437</v>
      </c>
      <c r="B56">
        <v>109261</v>
      </c>
      <c r="C56">
        <v>24110993</v>
      </c>
      <c r="D56" t="s">
        <v>438</v>
      </c>
      <c r="E56" t="s">
        <v>13</v>
      </c>
      <c r="F56" t="s">
        <v>17</v>
      </c>
      <c r="G56">
        <v>9</v>
      </c>
      <c r="H56">
        <v>9.75</v>
      </c>
      <c r="I56">
        <v>10</v>
      </c>
      <c r="J56">
        <f>VLOOKUP(C56,exam!$D$29:$V$359,19,0)</f>
        <v>111.5</v>
      </c>
      <c r="K56">
        <v>10</v>
      </c>
      <c r="L56" s="43">
        <f t="shared" si="0"/>
        <v>75.916666666666657</v>
      </c>
      <c r="M56" s="43">
        <f t="shared" si="1"/>
        <v>75.916666666666657</v>
      </c>
      <c r="N56" t="str">
        <f t="shared" si="4"/>
        <v>PR</v>
      </c>
    </row>
    <row r="57" spans="1:14">
      <c r="A57" t="s">
        <v>443</v>
      </c>
      <c r="B57">
        <v>104095</v>
      </c>
      <c r="C57">
        <v>24036958</v>
      </c>
      <c r="D57" t="s">
        <v>444</v>
      </c>
      <c r="E57" t="s">
        <v>13</v>
      </c>
      <c r="F57" t="s">
        <v>17</v>
      </c>
      <c r="G57">
        <v>9.5</v>
      </c>
      <c r="H57">
        <v>9.5</v>
      </c>
      <c r="I57">
        <v>9.6</v>
      </c>
      <c r="J57">
        <f>VLOOKUP(C57,exam!$D$29:$V$359,19,0)</f>
        <v>136.5</v>
      </c>
      <c r="K57">
        <v>10</v>
      </c>
      <c r="L57" s="43">
        <f t="shared" si="0"/>
        <v>84.1</v>
      </c>
      <c r="M57" s="43">
        <f t="shared" si="1"/>
        <v>84.1</v>
      </c>
      <c r="N57" t="str">
        <f t="shared" si="4"/>
        <v>PR</v>
      </c>
    </row>
    <row r="58" spans="1:14">
      <c r="A58" t="s">
        <v>451</v>
      </c>
      <c r="B58">
        <v>109981</v>
      </c>
      <c r="C58">
        <v>24122519</v>
      </c>
      <c r="D58" t="s">
        <v>452</v>
      </c>
      <c r="E58" t="s">
        <v>13</v>
      </c>
      <c r="F58" t="s">
        <v>17</v>
      </c>
      <c r="G58">
        <v>9</v>
      </c>
      <c r="H58">
        <v>9.75</v>
      </c>
      <c r="I58">
        <v>10</v>
      </c>
      <c r="J58">
        <f>VLOOKUP(C58,exam!$D$29:$V$359,19,0)</f>
        <v>136.5</v>
      </c>
      <c r="K58">
        <v>10</v>
      </c>
      <c r="L58" s="43">
        <f t="shared" si="0"/>
        <v>84.25</v>
      </c>
      <c r="M58" s="43">
        <f t="shared" si="1"/>
        <v>84.25</v>
      </c>
      <c r="N58" t="str">
        <f t="shared" si="4"/>
        <v>PR</v>
      </c>
    </row>
    <row r="59" spans="1:14">
      <c r="A59" t="s">
        <v>459</v>
      </c>
      <c r="B59">
        <v>82200</v>
      </c>
      <c r="C59">
        <v>17460547</v>
      </c>
      <c r="D59" t="s">
        <v>460</v>
      </c>
      <c r="E59" t="s">
        <v>13</v>
      </c>
      <c r="F59" t="s">
        <v>17</v>
      </c>
      <c r="G59">
        <v>0</v>
      </c>
      <c r="I59">
        <v>0</v>
      </c>
      <c r="J59" t="e">
        <f>VLOOKUP(C59,exam!$D$29:$V$359,19,0)</f>
        <v>#N/A</v>
      </c>
      <c r="K59">
        <v>10</v>
      </c>
      <c r="L59" s="43" t="e">
        <f t="shared" si="0"/>
        <v>#N/A</v>
      </c>
      <c r="M59" s="43" t="str">
        <f t="shared" si="1"/>
        <v/>
      </c>
      <c r="N59" t="str">
        <f t="shared" si="4"/>
        <v/>
      </c>
    </row>
    <row r="60" spans="1:14">
      <c r="A60" t="s">
        <v>467</v>
      </c>
      <c r="B60">
        <v>35712</v>
      </c>
      <c r="C60">
        <v>13415895</v>
      </c>
      <c r="D60" t="s">
        <v>468</v>
      </c>
      <c r="E60" t="s">
        <v>13</v>
      </c>
      <c r="F60" t="s">
        <v>17</v>
      </c>
      <c r="G60">
        <v>0</v>
      </c>
      <c r="I60">
        <v>0</v>
      </c>
      <c r="J60" t="e">
        <f>VLOOKUP(C60,exam!$D$29:$V$359,19,0)</f>
        <v>#N/A</v>
      </c>
      <c r="K60">
        <v>10</v>
      </c>
      <c r="L60" s="43" t="e">
        <f t="shared" si="0"/>
        <v>#N/A</v>
      </c>
      <c r="M60" s="43" t="str">
        <f t="shared" si="1"/>
        <v/>
      </c>
      <c r="N60" t="str">
        <f t="shared" si="4"/>
        <v/>
      </c>
    </row>
    <row r="61" spans="1:14">
      <c r="A61" t="s">
        <v>471</v>
      </c>
      <c r="B61">
        <v>108679</v>
      </c>
      <c r="C61">
        <v>24103156</v>
      </c>
      <c r="D61" t="s">
        <v>472</v>
      </c>
      <c r="E61" t="s">
        <v>13</v>
      </c>
      <c r="F61" t="s">
        <v>17</v>
      </c>
      <c r="G61">
        <v>7</v>
      </c>
      <c r="H61">
        <v>9.25</v>
      </c>
      <c r="I61">
        <v>10</v>
      </c>
      <c r="J61">
        <f>VLOOKUP(C61,exam!$D$29:$V$359,19,0)</f>
        <v>85</v>
      </c>
      <c r="K61">
        <v>10</v>
      </c>
      <c r="L61" s="43">
        <f t="shared" si="0"/>
        <v>64.583333333333329</v>
      </c>
      <c r="M61" s="43">
        <f t="shared" si="1"/>
        <v>64.583333333333329</v>
      </c>
      <c r="N61" t="str">
        <f t="shared" si="4"/>
        <v>P</v>
      </c>
    </row>
    <row r="62" spans="1:14">
      <c r="A62" t="s">
        <v>475</v>
      </c>
      <c r="B62">
        <v>82264</v>
      </c>
      <c r="C62">
        <v>17469455</v>
      </c>
      <c r="D62" t="s">
        <v>476</v>
      </c>
      <c r="E62" t="s">
        <v>13</v>
      </c>
      <c r="F62" t="s">
        <v>17</v>
      </c>
      <c r="G62">
        <v>9</v>
      </c>
      <c r="H62">
        <v>9</v>
      </c>
      <c r="I62">
        <v>9.8000000000000007</v>
      </c>
      <c r="J62">
        <f>VLOOKUP(C62,exam!$D$29:$V$359,19,0)</f>
        <v>131.5</v>
      </c>
      <c r="K62">
        <v>10</v>
      </c>
      <c r="L62" s="43">
        <f t="shared" si="0"/>
        <v>81.633333333333326</v>
      </c>
      <c r="M62" s="43">
        <f t="shared" si="1"/>
        <v>81.633333333333326</v>
      </c>
      <c r="N62" t="str">
        <f t="shared" si="4"/>
        <v>PR</v>
      </c>
    </row>
    <row r="63" spans="1:14">
      <c r="A63" t="s">
        <v>479</v>
      </c>
      <c r="B63">
        <v>82161</v>
      </c>
      <c r="C63">
        <v>17469013</v>
      </c>
      <c r="D63" t="s">
        <v>480</v>
      </c>
      <c r="E63" t="s">
        <v>13</v>
      </c>
      <c r="F63" t="s">
        <v>17</v>
      </c>
      <c r="G63">
        <v>0</v>
      </c>
      <c r="I63">
        <v>0</v>
      </c>
      <c r="J63" t="e">
        <f>VLOOKUP(C63,exam!$D$29:$V$359,19,0)</f>
        <v>#N/A</v>
      </c>
      <c r="K63">
        <v>10</v>
      </c>
      <c r="L63" s="43" t="e">
        <f t="shared" si="0"/>
        <v>#N/A</v>
      </c>
      <c r="M63" s="43" t="str">
        <f t="shared" si="1"/>
        <v/>
      </c>
      <c r="N63" t="str">
        <f t="shared" si="4"/>
        <v/>
      </c>
    </row>
    <row r="64" spans="1:14">
      <c r="A64" t="s">
        <v>485</v>
      </c>
      <c r="B64">
        <v>104454</v>
      </c>
      <c r="C64">
        <v>24035768</v>
      </c>
      <c r="D64" t="s">
        <v>486</v>
      </c>
      <c r="E64" t="s">
        <v>13</v>
      </c>
      <c r="F64" t="s">
        <v>17</v>
      </c>
      <c r="G64">
        <v>9</v>
      </c>
      <c r="H64">
        <v>9.5</v>
      </c>
      <c r="I64">
        <v>9</v>
      </c>
      <c r="J64">
        <f>VLOOKUP(C64,exam!$D$29:$V$359,19,0)</f>
        <v>100</v>
      </c>
      <c r="K64">
        <v>10</v>
      </c>
      <c r="L64" s="43">
        <f t="shared" si="0"/>
        <v>70.833333333333343</v>
      </c>
      <c r="M64" s="43">
        <f t="shared" si="1"/>
        <v>70.833333333333343</v>
      </c>
      <c r="N64" t="str">
        <f t="shared" si="4"/>
        <v>PR</v>
      </c>
    </row>
    <row r="65" spans="1:14">
      <c r="A65" t="s">
        <v>489</v>
      </c>
      <c r="B65">
        <v>104030</v>
      </c>
      <c r="C65">
        <v>24036346</v>
      </c>
      <c r="D65" t="s">
        <v>490</v>
      </c>
      <c r="E65" t="s">
        <v>13</v>
      </c>
      <c r="F65" t="s">
        <v>17</v>
      </c>
      <c r="G65">
        <v>9.5</v>
      </c>
      <c r="H65">
        <v>9</v>
      </c>
      <c r="I65">
        <v>10</v>
      </c>
      <c r="J65">
        <f>VLOOKUP(C65,exam!$D$29:$V$359,19,0)</f>
        <v>138.5</v>
      </c>
      <c r="K65">
        <v>10</v>
      </c>
      <c r="L65" s="43">
        <f t="shared" si="0"/>
        <v>84.666666666666657</v>
      </c>
      <c r="M65" s="43">
        <f t="shared" si="1"/>
        <v>84.666666666666657</v>
      </c>
      <c r="N65" t="str">
        <f t="shared" si="4"/>
        <v>PR</v>
      </c>
    </row>
    <row r="66" spans="1:14">
      <c r="A66" t="s">
        <v>511</v>
      </c>
      <c r="B66">
        <v>112164</v>
      </c>
      <c r="C66">
        <v>24158457</v>
      </c>
      <c r="D66" t="s">
        <v>512</v>
      </c>
      <c r="E66" t="s">
        <v>13</v>
      </c>
      <c r="F66" t="s">
        <v>17</v>
      </c>
      <c r="G66">
        <v>10</v>
      </c>
      <c r="H66">
        <v>5</v>
      </c>
      <c r="I66">
        <v>8.8000000000000007</v>
      </c>
      <c r="J66">
        <f>VLOOKUP(C66,exam!$D$29:$V$359,19,0)</f>
        <v>142</v>
      </c>
      <c r="K66">
        <v>10</v>
      </c>
      <c r="L66" s="43">
        <f t="shared" si="0"/>
        <v>81.133333333333326</v>
      </c>
      <c r="M66" s="43">
        <f t="shared" si="1"/>
        <v>81.133333333333326</v>
      </c>
      <c r="N66" t="str">
        <f t="shared" si="4"/>
        <v>PR</v>
      </c>
    </row>
    <row r="67" spans="1:14">
      <c r="A67" t="s">
        <v>521</v>
      </c>
      <c r="B67">
        <v>104255</v>
      </c>
      <c r="C67">
        <v>24035649</v>
      </c>
      <c r="D67" t="s">
        <v>522</v>
      </c>
      <c r="E67" t="s">
        <v>13</v>
      </c>
      <c r="F67" t="s">
        <v>17</v>
      </c>
      <c r="G67">
        <v>9</v>
      </c>
      <c r="H67">
        <v>9.5</v>
      </c>
      <c r="I67">
        <v>10</v>
      </c>
      <c r="J67">
        <f>VLOOKUP(C67,exam!$D$29:$V$359,19,0)</f>
        <v>152.5</v>
      </c>
      <c r="K67">
        <v>10</v>
      </c>
      <c r="L67" s="43">
        <f t="shared" si="0"/>
        <v>89.333333333333343</v>
      </c>
      <c r="M67" s="43">
        <f t="shared" si="1"/>
        <v>89.333333333333343</v>
      </c>
      <c r="N67" t="str">
        <f t="shared" si="4"/>
        <v>H</v>
      </c>
    </row>
    <row r="68" spans="1:14">
      <c r="A68" t="s">
        <v>529</v>
      </c>
      <c r="B68">
        <v>84506</v>
      </c>
      <c r="C68">
        <v>17501857</v>
      </c>
      <c r="D68" t="s">
        <v>530</v>
      </c>
      <c r="E68" t="s">
        <v>13</v>
      </c>
      <c r="F68" t="s">
        <v>17</v>
      </c>
      <c r="G68">
        <v>0</v>
      </c>
      <c r="I68">
        <v>0</v>
      </c>
      <c r="J68" t="e">
        <f>VLOOKUP(C68,exam!$D$29:$V$359,19,0)</f>
        <v>#N/A</v>
      </c>
      <c r="K68">
        <v>10</v>
      </c>
      <c r="L68" s="43" t="e">
        <f t="shared" ref="L68:L131" si="5">SUM(K68,I68,H68,G68)+J68/3</f>
        <v>#N/A</v>
      </c>
      <c r="M68" s="43" t="str">
        <f t="shared" ref="M68:M131" si="6">IF(ISERROR(L68),"",L68)</f>
        <v/>
      </c>
      <c r="N68" t="str">
        <f t="shared" ref="N68:N94" si="7">IF(M68="","",IF(M68&gt;=$Q$3,$P$3,IF(M68&gt;=$Q$4,$P$4,IF(M68&gt;=$Q$5,$P$5,"P"))))</f>
        <v/>
      </c>
    </row>
    <row r="69" spans="1:14">
      <c r="A69" t="s">
        <v>531</v>
      </c>
      <c r="B69">
        <v>84930</v>
      </c>
      <c r="C69">
        <v>17508062</v>
      </c>
      <c r="D69" t="s">
        <v>532</v>
      </c>
      <c r="E69" t="s">
        <v>13</v>
      </c>
      <c r="F69" t="s">
        <v>17</v>
      </c>
      <c r="G69">
        <v>0</v>
      </c>
      <c r="I69">
        <v>0</v>
      </c>
      <c r="J69" t="e">
        <f>VLOOKUP(C69,exam!$D$29:$V$359,19,0)</f>
        <v>#N/A</v>
      </c>
      <c r="K69">
        <v>10</v>
      </c>
      <c r="L69" s="43" t="e">
        <f t="shared" si="5"/>
        <v>#N/A</v>
      </c>
      <c r="M69" s="43" t="str">
        <f t="shared" si="6"/>
        <v/>
      </c>
      <c r="N69" t="str">
        <f t="shared" si="7"/>
        <v/>
      </c>
    </row>
    <row r="70" spans="1:14">
      <c r="A70" t="s">
        <v>547</v>
      </c>
      <c r="B70">
        <v>82381</v>
      </c>
      <c r="C70">
        <v>17470254</v>
      </c>
      <c r="D70" t="s">
        <v>548</v>
      </c>
      <c r="E70" t="s">
        <v>13</v>
      </c>
      <c r="F70" t="s">
        <v>17</v>
      </c>
      <c r="G70">
        <v>0</v>
      </c>
      <c r="I70">
        <v>0</v>
      </c>
      <c r="J70" t="e">
        <f>VLOOKUP(C70,exam!$D$29:$V$359,19,0)</f>
        <v>#N/A</v>
      </c>
      <c r="K70">
        <v>10</v>
      </c>
      <c r="L70" s="43" t="e">
        <f t="shared" si="5"/>
        <v>#N/A</v>
      </c>
      <c r="M70" s="43" t="str">
        <f t="shared" si="6"/>
        <v/>
      </c>
      <c r="N70" t="str">
        <f t="shared" si="7"/>
        <v/>
      </c>
    </row>
    <row r="71" spans="1:14">
      <c r="A71" t="s">
        <v>559</v>
      </c>
      <c r="B71">
        <v>109495</v>
      </c>
      <c r="C71">
        <v>24115838</v>
      </c>
      <c r="D71" t="s">
        <v>560</v>
      </c>
      <c r="E71" t="s">
        <v>13</v>
      </c>
      <c r="F71" t="s">
        <v>17</v>
      </c>
      <c r="G71">
        <v>9</v>
      </c>
      <c r="H71">
        <v>9.75</v>
      </c>
      <c r="I71">
        <v>9</v>
      </c>
      <c r="J71">
        <f>VLOOKUP(C71,exam!$D$29:$V$359,19,0)</f>
        <v>108.5</v>
      </c>
      <c r="K71">
        <v>10</v>
      </c>
      <c r="L71" s="43">
        <f t="shared" si="5"/>
        <v>73.916666666666657</v>
      </c>
      <c r="M71" s="43">
        <f t="shared" si="6"/>
        <v>73.916666666666657</v>
      </c>
      <c r="N71" t="str">
        <f t="shared" si="7"/>
        <v>PR</v>
      </c>
    </row>
    <row r="72" spans="1:14">
      <c r="A72" t="s">
        <v>571</v>
      </c>
      <c r="B72">
        <v>90604</v>
      </c>
      <c r="C72">
        <v>17585956</v>
      </c>
      <c r="D72" t="s">
        <v>572</v>
      </c>
      <c r="E72" t="s">
        <v>13</v>
      </c>
      <c r="F72" t="s">
        <v>17</v>
      </c>
      <c r="G72">
        <v>0</v>
      </c>
      <c r="I72">
        <v>0</v>
      </c>
      <c r="J72" t="e">
        <f>VLOOKUP(C72,exam!$D$29:$V$359,19,0)</f>
        <v>#N/A</v>
      </c>
      <c r="K72">
        <v>10</v>
      </c>
      <c r="L72" s="43" t="e">
        <f t="shared" si="5"/>
        <v>#N/A</v>
      </c>
      <c r="M72" s="43" t="str">
        <f t="shared" si="6"/>
        <v/>
      </c>
      <c r="N72" t="str">
        <f t="shared" si="7"/>
        <v/>
      </c>
    </row>
    <row r="73" spans="1:14">
      <c r="A73" t="s">
        <v>577</v>
      </c>
      <c r="B73">
        <v>81734</v>
      </c>
      <c r="C73">
        <v>17469302</v>
      </c>
      <c r="D73" t="s">
        <v>578</v>
      </c>
      <c r="E73" t="s">
        <v>13</v>
      </c>
      <c r="F73" t="s">
        <v>17</v>
      </c>
      <c r="G73">
        <v>0</v>
      </c>
      <c r="I73">
        <v>0</v>
      </c>
      <c r="J73" t="e">
        <f>VLOOKUP(C73,exam!$D$29:$V$359,19,0)</f>
        <v>#N/A</v>
      </c>
      <c r="K73">
        <v>10</v>
      </c>
      <c r="L73" s="43" t="e">
        <f t="shared" si="5"/>
        <v>#N/A</v>
      </c>
      <c r="M73" s="43" t="str">
        <f t="shared" si="6"/>
        <v/>
      </c>
      <c r="N73" t="str">
        <f t="shared" si="7"/>
        <v/>
      </c>
    </row>
    <row r="74" spans="1:14">
      <c r="A74" t="s">
        <v>583</v>
      </c>
      <c r="B74">
        <v>93438</v>
      </c>
      <c r="C74">
        <v>17609841</v>
      </c>
      <c r="D74" t="s">
        <v>584</v>
      </c>
      <c r="E74" t="s">
        <v>13</v>
      </c>
      <c r="F74" t="s">
        <v>17</v>
      </c>
      <c r="G74">
        <v>0</v>
      </c>
      <c r="I74">
        <v>0</v>
      </c>
      <c r="J74" t="e">
        <f>VLOOKUP(C74,exam!$D$29:$V$359,19,0)</f>
        <v>#N/A</v>
      </c>
      <c r="K74">
        <v>10</v>
      </c>
      <c r="L74" s="43" t="e">
        <f t="shared" si="5"/>
        <v>#N/A</v>
      </c>
      <c r="M74" s="43" t="str">
        <f t="shared" si="6"/>
        <v/>
      </c>
      <c r="N74" t="str">
        <f t="shared" si="7"/>
        <v/>
      </c>
    </row>
    <row r="75" spans="1:14">
      <c r="A75" t="s">
        <v>585</v>
      </c>
      <c r="B75">
        <v>87832</v>
      </c>
      <c r="C75">
        <v>17547944</v>
      </c>
      <c r="D75" t="s">
        <v>586</v>
      </c>
      <c r="E75" t="s">
        <v>13</v>
      </c>
      <c r="F75" t="s">
        <v>17</v>
      </c>
      <c r="G75">
        <v>0</v>
      </c>
      <c r="I75">
        <v>0</v>
      </c>
      <c r="J75" t="e">
        <f>VLOOKUP(C75,exam!$D$29:$V$359,19,0)</f>
        <v>#N/A</v>
      </c>
      <c r="K75">
        <v>10</v>
      </c>
      <c r="L75" s="43" t="e">
        <f t="shared" si="5"/>
        <v>#N/A</v>
      </c>
      <c r="M75" s="43" t="str">
        <f t="shared" si="6"/>
        <v/>
      </c>
      <c r="N75" t="str">
        <f t="shared" si="7"/>
        <v/>
      </c>
    </row>
    <row r="76" spans="1:14">
      <c r="A76" t="s">
        <v>587</v>
      </c>
      <c r="B76">
        <v>104099</v>
      </c>
      <c r="C76">
        <v>24012359</v>
      </c>
      <c r="D76" t="s">
        <v>588</v>
      </c>
      <c r="E76" t="s">
        <v>13</v>
      </c>
      <c r="F76" t="s">
        <v>17</v>
      </c>
      <c r="G76">
        <v>7</v>
      </c>
      <c r="H76">
        <v>9.75</v>
      </c>
      <c r="I76">
        <v>10</v>
      </c>
      <c r="J76">
        <f>VLOOKUP(C76,exam!$D$29:$V$359,19,0)</f>
        <v>74</v>
      </c>
      <c r="K76">
        <v>10</v>
      </c>
      <c r="L76" s="43">
        <f t="shared" si="5"/>
        <v>61.416666666666671</v>
      </c>
      <c r="M76" s="43">
        <f t="shared" si="6"/>
        <v>61.416666666666671</v>
      </c>
      <c r="N76" t="str">
        <f t="shared" si="7"/>
        <v>P</v>
      </c>
    </row>
    <row r="77" spans="1:14">
      <c r="A77" t="s">
        <v>595</v>
      </c>
      <c r="B77">
        <v>109951</v>
      </c>
      <c r="C77">
        <v>24122808</v>
      </c>
      <c r="D77" t="s">
        <v>596</v>
      </c>
      <c r="E77" t="s">
        <v>13</v>
      </c>
      <c r="F77" t="s">
        <v>17</v>
      </c>
      <c r="G77">
        <v>9</v>
      </c>
      <c r="H77">
        <v>9.75</v>
      </c>
      <c r="I77">
        <v>9</v>
      </c>
      <c r="J77">
        <f>VLOOKUP(C77,exam!$D$29:$V$359,19,0)</f>
        <v>138.5</v>
      </c>
      <c r="K77">
        <v>10</v>
      </c>
      <c r="L77" s="43">
        <f t="shared" si="5"/>
        <v>83.916666666666657</v>
      </c>
      <c r="M77" s="43">
        <f t="shared" si="6"/>
        <v>83.916666666666657</v>
      </c>
      <c r="N77" t="str">
        <f t="shared" si="7"/>
        <v>PR</v>
      </c>
    </row>
    <row r="78" spans="1:14">
      <c r="A78" t="s">
        <v>607</v>
      </c>
      <c r="B78">
        <v>26587</v>
      </c>
      <c r="C78">
        <v>14055435</v>
      </c>
      <c r="D78" t="s">
        <v>608</v>
      </c>
      <c r="E78" t="s">
        <v>13</v>
      </c>
      <c r="F78" t="s">
        <v>17</v>
      </c>
      <c r="G78">
        <v>8</v>
      </c>
      <c r="H78">
        <v>9.5</v>
      </c>
      <c r="I78">
        <v>10</v>
      </c>
      <c r="J78">
        <f>VLOOKUP(C78,exam!$D$29:$V$359,19,0)</f>
        <v>121.5</v>
      </c>
      <c r="K78">
        <v>10</v>
      </c>
      <c r="L78" s="43">
        <f t="shared" si="5"/>
        <v>78</v>
      </c>
      <c r="M78" s="43">
        <f t="shared" si="6"/>
        <v>78</v>
      </c>
      <c r="N78" t="str">
        <f t="shared" si="7"/>
        <v>PR</v>
      </c>
    </row>
    <row r="79" spans="1:14">
      <c r="A79" t="s">
        <v>613</v>
      </c>
      <c r="B79">
        <v>93452</v>
      </c>
      <c r="C79">
        <v>17609926</v>
      </c>
      <c r="D79" t="s">
        <v>614</v>
      </c>
      <c r="E79" t="s">
        <v>13</v>
      </c>
      <c r="F79" t="s">
        <v>17</v>
      </c>
      <c r="G79">
        <v>0</v>
      </c>
      <c r="I79">
        <v>0</v>
      </c>
      <c r="J79" t="e">
        <f>VLOOKUP(C79,exam!$D$29:$V$359,19,0)</f>
        <v>#N/A</v>
      </c>
      <c r="K79">
        <v>10</v>
      </c>
      <c r="L79" s="43" t="e">
        <f t="shared" si="5"/>
        <v>#N/A</v>
      </c>
      <c r="M79" s="43" t="str">
        <f t="shared" si="6"/>
        <v/>
      </c>
      <c r="N79" t="str">
        <f t="shared" si="7"/>
        <v/>
      </c>
    </row>
    <row r="80" spans="1:14">
      <c r="A80" t="s">
        <v>641</v>
      </c>
      <c r="B80">
        <v>103987</v>
      </c>
      <c r="C80">
        <v>24037043</v>
      </c>
      <c r="D80" t="s">
        <v>642</v>
      </c>
      <c r="E80" t="s">
        <v>13</v>
      </c>
      <c r="F80" t="s">
        <v>17</v>
      </c>
      <c r="G80">
        <v>10</v>
      </c>
      <c r="H80">
        <v>9.75</v>
      </c>
      <c r="I80">
        <v>10</v>
      </c>
      <c r="J80">
        <f>VLOOKUP(C80,exam!$D$29:$V$359,19,0)</f>
        <v>130.5</v>
      </c>
      <c r="K80">
        <v>10</v>
      </c>
      <c r="L80" s="43">
        <f t="shared" si="5"/>
        <v>83.25</v>
      </c>
      <c r="M80" s="43">
        <f t="shared" si="6"/>
        <v>83.25</v>
      </c>
      <c r="N80" t="str">
        <f t="shared" si="7"/>
        <v>PR</v>
      </c>
    </row>
    <row r="81" spans="1:14">
      <c r="A81" t="s">
        <v>645</v>
      </c>
      <c r="B81">
        <v>104509</v>
      </c>
      <c r="C81">
        <v>24011866</v>
      </c>
      <c r="D81" t="s">
        <v>646</v>
      </c>
      <c r="E81" t="s">
        <v>13</v>
      </c>
      <c r="F81" t="s">
        <v>17</v>
      </c>
      <c r="G81">
        <v>6.25</v>
      </c>
      <c r="H81">
        <v>8.25</v>
      </c>
      <c r="I81">
        <v>10</v>
      </c>
      <c r="J81">
        <f>VLOOKUP(C81,exam!$D$29:$V$359,19,0)</f>
        <v>123.5</v>
      </c>
      <c r="K81">
        <v>10</v>
      </c>
      <c r="L81" s="43">
        <f t="shared" si="5"/>
        <v>75.666666666666657</v>
      </c>
      <c r="M81" s="43">
        <f t="shared" si="6"/>
        <v>75.666666666666657</v>
      </c>
      <c r="N81" t="str">
        <f t="shared" si="7"/>
        <v>PR</v>
      </c>
    </row>
    <row r="82" spans="1:14">
      <c r="A82" t="s">
        <v>657</v>
      </c>
      <c r="B82">
        <v>103558</v>
      </c>
      <c r="C82">
        <v>24037094</v>
      </c>
      <c r="D82" t="s">
        <v>658</v>
      </c>
      <c r="E82" t="s">
        <v>13</v>
      </c>
      <c r="F82" t="s">
        <v>17</v>
      </c>
      <c r="G82">
        <v>7.5</v>
      </c>
      <c r="H82">
        <v>9.5</v>
      </c>
      <c r="I82">
        <v>10</v>
      </c>
      <c r="J82">
        <f>VLOOKUP(C82,exam!$D$29:$V$359,19,0)</f>
        <v>115.5</v>
      </c>
      <c r="K82">
        <v>10</v>
      </c>
      <c r="L82" s="43">
        <f t="shared" si="5"/>
        <v>75.5</v>
      </c>
      <c r="M82" s="43">
        <f t="shared" si="6"/>
        <v>75.5</v>
      </c>
      <c r="N82" t="str">
        <f t="shared" si="7"/>
        <v>PR</v>
      </c>
    </row>
    <row r="83" spans="1:14">
      <c r="A83" t="s">
        <v>661</v>
      </c>
      <c r="B83">
        <v>107806</v>
      </c>
      <c r="C83">
        <v>13958994</v>
      </c>
      <c r="D83" t="s">
        <v>662</v>
      </c>
      <c r="E83" t="s">
        <v>13</v>
      </c>
      <c r="F83" t="s">
        <v>17</v>
      </c>
      <c r="G83">
        <v>8.5</v>
      </c>
      <c r="H83">
        <v>9.5</v>
      </c>
      <c r="I83">
        <v>9.5</v>
      </c>
      <c r="J83">
        <f>VLOOKUP(C83,exam!$D$29:$V$359,19,0)</f>
        <v>145</v>
      </c>
      <c r="K83">
        <v>10</v>
      </c>
      <c r="L83" s="43">
        <f t="shared" si="5"/>
        <v>85.833333333333343</v>
      </c>
      <c r="M83" s="43">
        <f t="shared" si="6"/>
        <v>85.833333333333343</v>
      </c>
      <c r="N83" t="str">
        <f t="shared" si="7"/>
        <v>H</v>
      </c>
    </row>
    <row r="84" spans="1:14">
      <c r="A84" t="s">
        <v>667</v>
      </c>
      <c r="B84">
        <v>114085</v>
      </c>
      <c r="C84">
        <v>24185759</v>
      </c>
      <c r="D84" t="s">
        <v>668</v>
      </c>
      <c r="E84" t="s">
        <v>13</v>
      </c>
      <c r="F84" t="s">
        <v>17</v>
      </c>
      <c r="G84">
        <v>10</v>
      </c>
      <c r="H84">
        <v>9.25</v>
      </c>
      <c r="I84">
        <v>10</v>
      </c>
      <c r="J84">
        <f>VLOOKUP(C84,exam!$D$29:$V$359,19,0)</f>
        <v>101</v>
      </c>
      <c r="K84">
        <v>10</v>
      </c>
      <c r="L84" s="43">
        <f t="shared" si="5"/>
        <v>72.916666666666657</v>
      </c>
      <c r="M84" s="43">
        <f t="shared" si="6"/>
        <v>72.916666666666657</v>
      </c>
      <c r="N84" t="str">
        <f t="shared" si="7"/>
        <v>PR</v>
      </c>
    </row>
    <row r="85" spans="1:14">
      <c r="A85" t="s">
        <v>687</v>
      </c>
      <c r="B85">
        <v>82194</v>
      </c>
      <c r="C85">
        <v>17469064</v>
      </c>
      <c r="D85" t="s">
        <v>688</v>
      </c>
      <c r="E85" t="s">
        <v>13</v>
      </c>
      <c r="F85" t="s">
        <v>17</v>
      </c>
      <c r="G85">
        <v>0</v>
      </c>
      <c r="I85">
        <v>0</v>
      </c>
      <c r="J85" t="e">
        <f>VLOOKUP(C85,exam!$D$29:$V$359,19,0)</f>
        <v>#N/A</v>
      </c>
      <c r="K85">
        <v>10</v>
      </c>
      <c r="L85" s="43" t="e">
        <f t="shared" si="5"/>
        <v>#N/A</v>
      </c>
      <c r="M85" s="43" t="str">
        <f t="shared" si="6"/>
        <v/>
      </c>
      <c r="N85" t="str">
        <f t="shared" si="7"/>
        <v/>
      </c>
    </row>
    <row r="86" spans="1:14">
      <c r="A86" t="s">
        <v>689</v>
      </c>
      <c r="B86">
        <v>109930</v>
      </c>
      <c r="C86">
        <v>24122077</v>
      </c>
      <c r="D86" t="s">
        <v>690</v>
      </c>
      <c r="E86" t="s">
        <v>13</v>
      </c>
      <c r="F86" t="s">
        <v>17</v>
      </c>
      <c r="G86">
        <v>9</v>
      </c>
      <c r="H86">
        <v>9.25</v>
      </c>
      <c r="I86">
        <v>10</v>
      </c>
      <c r="J86">
        <f>VLOOKUP(C86,exam!$D$29:$V$359,19,0)</f>
        <v>154</v>
      </c>
      <c r="K86">
        <v>10</v>
      </c>
      <c r="L86" s="43">
        <f t="shared" si="5"/>
        <v>89.583333333333343</v>
      </c>
      <c r="M86" s="43">
        <f t="shared" si="6"/>
        <v>89.583333333333343</v>
      </c>
      <c r="N86" t="str">
        <f t="shared" si="7"/>
        <v>H</v>
      </c>
    </row>
    <row r="87" spans="1:14">
      <c r="A87" t="s">
        <v>693</v>
      </c>
      <c r="B87">
        <v>102986</v>
      </c>
      <c r="C87">
        <v>24036278</v>
      </c>
      <c r="D87" t="s">
        <v>694</v>
      </c>
      <c r="E87" t="s">
        <v>13</v>
      </c>
      <c r="F87" t="s">
        <v>17</v>
      </c>
      <c r="G87">
        <v>9.5</v>
      </c>
      <c r="H87">
        <v>9</v>
      </c>
      <c r="I87">
        <v>0</v>
      </c>
      <c r="J87">
        <f>VLOOKUP(C87,exam!$D$29:$V$359,19,0)</f>
        <v>157</v>
      </c>
      <c r="K87">
        <v>10</v>
      </c>
      <c r="L87" s="43">
        <f t="shared" si="5"/>
        <v>80.833333333333343</v>
      </c>
      <c r="M87" s="43">
        <f t="shared" si="6"/>
        <v>80.833333333333343</v>
      </c>
      <c r="N87" t="str">
        <f t="shared" si="7"/>
        <v>PR</v>
      </c>
    </row>
    <row r="88" spans="1:14">
      <c r="A88" t="s">
        <v>695</v>
      </c>
      <c r="B88">
        <v>107213</v>
      </c>
      <c r="C88">
        <v>24079798</v>
      </c>
      <c r="D88" t="s">
        <v>696</v>
      </c>
      <c r="E88" t="s">
        <v>13</v>
      </c>
      <c r="F88" t="s">
        <v>17</v>
      </c>
      <c r="G88">
        <v>10</v>
      </c>
      <c r="H88">
        <v>10</v>
      </c>
      <c r="I88">
        <v>10</v>
      </c>
      <c r="J88">
        <f>VLOOKUP(C88,exam!$D$29:$V$359,19,0)</f>
        <v>157</v>
      </c>
      <c r="K88">
        <v>10</v>
      </c>
      <c r="L88" s="43">
        <f t="shared" si="5"/>
        <v>92.333333333333343</v>
      </c>
      <c r="M88" s="43">
        <f t="shared" si="6"/>
        <v>92.333333333333343</v>
      </c>
      <c r="N88" t="str">
        <f t="shared" si="7"/>
        <v>HH</v>
      </c>
    </row>
    <row r="89" spans="1:14">
      <c r="A89" t="s">
        <v>701</v>
      </c>
      <c r="B89">
        <v>107651</v>
      </c>
      <c r="C89">
        <v>24086394</v>
      </c>
      <c r="D89" t="s">
        <v>702</v>
      </c>
      <c r="E89" t="s">
        <v>13</v>
      </c>
      <c r="F89" t="s">
        <v>17</v>
      </c>
      <c r="G89">
        <v>8.5</v>
      </c>
      <c r="H89">
        <v>9.5</v>
      </c>
      <c r="I89">
        <v>10</v>
      </c>
      <c r="J89">
        <f>VLOOKUP(C89,exam!$D$29:$V$359,19,0)</f>
        <v>154</v>
      </c>
      <c r="K89">
        <v>10</v>
      </c>
      <c r="L89" s="43">
        <f t="shared" si="5"/>
        <v>89.333333333333343</v>
      </c>
      <c r="M89" s="43">
        <f t="shared" si="6"/>
        <v>89.333333333333343</v>
      </c>
      <c r="N89" t="str">
        <f t="shared" si="7"/>
        <v>H</v>
      </c>
    </row>
    <row r="90" spans="1:14">
      <c r="A90" t="s">
        <v>707</v>
      </c>
      <c r="B90">
        <v>86245</v>
      </c>
      <c r="C90">
        <v>17524365</v>
      </c>
      <c r="D90" t="s">
        <v>708</v>
      </c>
      <c r="E90" t="s">
        <v>13</v>
      </c>
      <c r="F90" t="s">
        <v>17</v>
      </c>
      <c r="G90">
        <v>0</v>
      </c>
      <c r="I90">
        <v>0</v>
      </c>
      <c r="J90" t="e">
        <f>VLOOKUP(C90,exam!$D$29:$V$359,19,0)</f>
        <v>#N/A</v>
      </c>
      <c r="K90">
        <v>10</v>
      </c>
      <c r="L90" s="43" t="e">
        <f t="shared" si="5"/>
        <v>#N/A</v>
      </c>
      <c r="M90" s="43" t="str">
        <f t="shared" si="6"/>
        <v/>
      </c>
      <c r="N90" t="str">
        <f t="shared" si="7"/>
        <v/>
      </c>
    </row>
    <row r="91" spans="1:14">
      <c r="A91" t="s">
        <v>709</v>
      </c>
      <c r="B91">
        <v>111190</v>
      </c>
      <c r="C91">
        <v>24143548</v>
      </c>
      <c r="D91" t="s">
        <v>710</v>
      </c>
      <c r="E91" t="s">
        <v>13</v>
      </c>
      <c r="F91" t="s">
        <v>17</v>
      </c>
      <c r="G91">
        <v>9</v>
      </c>
      <c r="H91">
        <v>9.5</v>
      </c>
      <c r="I91">
        <v>10</v>
      </c>
      <c r="J91">
        <f>VLOOKUP(C91,exam!$D$29:$V$359,19,0)</f>
        <v>133</v>
      </c>
      <c r="K91">
        <v>10</v>
      </c>
      <c r="L91" s="43">
        <f t="shared" si="5"/>
        <v>82.833333333333343</v>
      </c>
      <c r="M91" s="43">
        <f t="shared" si="6"/>
        <v>82.833333333333343</v>
      </c>
      <c r="N91" t="str">
        <f t="shared" si="7"/>
        <v>PR</v>
      </c>
    </row>
    <row r="92" spans="1:14">
      <c r="A92" t="s">
        <v>725</v>
      </c>
      <c r="B92">
        <v>108757</v>
      </c>
      <c r="C92">
        <v>24103326</v>
      </c>
      <c r="D92" t="s">
        <v>726</v>
      </c>
      <c r="E92" t="s">
        <v>13</v>
      </c>
      <c r="F92" t="s">
        <v>17</v>
      </c>
      <c r="G92">
        <v>10</v>
      </c>
      <c r="H92">
        <v>9.75</v>
      </c>
      <c r="I92">
        <v>10</v>
      </c>
      <c r="J92">
        <f>VLOOKUP(C92,exam!$D$29:$V$359,19,0)</f>
        <v>152.5</v>
      </c>
      <c r="K92">
        <v>10</v>
      </c>
      <c r="L92" s="43">
        <f t="shared" si="5"/>
        <v>90.583333333333343</v>
      </c>
      <c r="M92" s="43">
        <f t="shared" si="6"/>
        <v>90.583333333333343</v>
      </c>
      <c r="N92" t="str">
        <f t="shared" si="7"/>
        <v>H</v>
      </c>
    </row>
    <row r="93" spans="1:14">
      <c r="A93" t="s">
        <v>727</v>
      </c>
      <c r="B93">
        <v>29412</v>
      </c>
      <c r="C93">
        <v>13469309</v>
      </c>
      <c r="D93" t="s">
        <v>728</v>
      </c>
      <c r="E93" t="s">
        <v>13</v>
      </c>
      <c r="F93" t="s">
        <v>17</v>
      </c>
      <c r="G93">
        <v>0</v>
      </c>
      <c r="I93">
        <v>0</v>
      </c>
      <c r="J93" t="e">
        <f>VLOOKUP(C93,exam!$D$29:$V$359,19,0)</f>
        <v>#N/A</v>
      </c>
      <c r="K93">
        <v>10</v>
      </c>
      <c r="L93" s="43" t="e">
        <f t="shared" si="5"/>
        <v>#N/A</v>
      </c>
      <c r="M93" s="43" t="str">
        <f t="shared" si="6"/>
        <v/>
      </c>
      <c r="N93" t="str">
        <f t="shared" si="7"/>
        <v/>
      </c>
    </row>
    <row r="94" spans="1:14">
      <c r="A94" t="s">
        <v>731</v>
      </c>
      <c r="B94">
        <v>107295</v>
      </c>
      <c r="C94">
        <v>24081277</v>
      </c>
      <c r="D94" t="s">
        <v>732</v>
      </c>
      <c r="E94" t="s">
        <v>13</v>
      </c>
      <c r="F94" t="s">
        <v>17</v>
      </c>
      <c r="G94">
        <v>9.5</v>
      </c>
      <c r="H94">
        <v>9.75</v>
      </c>
      <c r="I94">
        <v>10</v>
      </c>
      <c r="J94">
        <f>VLOOKUP(C94,exam!$D$29:$V$359,19,0)</f>
        <v>146.5</v>
      </c>
      <c r="K94">
        <v>10</v>
      </c>
      <c r="L94" s="43">
        <f t="shared" si="5"/>
        <v>88.083333333333343</v>
      </c>
      <c r="M94" s="43">
        <f t="shared" si="6"/>
        <v>88.083333333333343</v>
      </c>
      <c r="N94" t="str">
        <f t="shared" si="7"/>
        <v>H</v>
      </c>
    </row>
    <row r="95" spans="1:14">
      <c r="A95" t="s">
        <v>733</v>
      </c>
      <c r="B95">
        <v>116587</v>
      </c>
      <c r="D95" t="s">
        <v>734</v>
      </c>
      <c r="E95" t="s">
        <v>13</v>
      </c>
      <c r="F95" t="s">
        <v>735</v>
      </c>
      <c r="I95">
        <v>0</v>
      </c>
      <c r="K95">
        <v>10</v>
      </c>
      <c r="L95" s="43">
        <f t="shared" si="5"/>
        <v>10</v>
      </c>
      <c r="M95" s="43">
        <f t="shared" si="6"/>
        <v>10</v>
      </c>
    </row>
    <row r="96" spans="1:14">
      <c r="A96" t="s">
        <v>25</v>
      </c>
      <c r="B96">
        <v>107139</v>
      </c>
      <c r="C96">
        <v>24079968</v>
      </c>
      <c r="D96" t="s">
        <v>26</v>
      </c>
      <c r="E96" t="s">
        <v>13</v>
      </c>
      <c r="F96" t="s">
        <v>27</v>
      </c>
      <c r="G96">
        <v>9</v>
      </c>
      <c r="H96">
        <v>9.5</v>
      </c>
      <c r="I96">
        <v>10</v>
      </c>
      <c r="J96">
        <f>VLOOKUP(C96,exam!$D$29:$V$359,19,0)</f>
        <v>141.5</v>
      </c>
      <c r="K96">
        <v>10</v>
      </c>
      <c r="L96" s="43">
        <f t="shared" si="5"/>
        <v>85.666666666666657</v>
      </c>
      <c r="M96" s="43">
        <f t="shared" si="6"/>
        <v>85.666666666666657</v>
      </c>
      <c r="N96" t="str">
        <f t="shared" ref="N96:N127" si="8">IF(M96="","",IF(M96&gt;=$Q$3,$P$3,IF(M96&gt;=$Q$4,$P$4,IF(M96&gt;=$Q$5,$P$5,"P"))))</f>
        <v>H</v>
      </c>
    </row>
    <row r="97" spans="1:14">
      <c r="A97" t="s">
        <v>34</v>
      </c>
      <c r="B97">
        <v>111075</v>
      </c>
      <c r="C97">
        <v>24142205</v>
      </c>
      <c r="D97" t="s">
        <v>35</v>
      </c>
      <c r="E97" t="s">
        <v>13</v>
      </c>
      <c r="F97" t="s">
        <v>27</v>
      </c>
      <c r="G97">
        <v>9</v>
      </c>
      <c r="H97">
        <v>9.5</v>
      </c>
      <c r="I97">
        <v>10</v>
      </c>
      <c r="J97">
        <f>VLOOKUP(C97,exam!$D$29:$V$359,19,0)</f>
        <v>163</v>
      </c>
      <c r="K97">
        <v>10</v>
      </c>
      <c r="L97" s="43">
        <f t="shared" si="5"/>
        <v>92.833333333333343</v>
      </c>
      <c r="M97" s="43">
        <f t="shared" si="6"/>
        <v>92.833333333333343</v>
      </c>
      <c r="N97" t="str">
        <f t="shared" si="8"/>
        <v>HH</v>
      </c>
    </row>
    <row r="98" spans="1:14">
      <c r="A98" t="s">
        <v>51</v>
      </c>
      <c r="B98">
        <v>103696</v>
      </c>
      <c r="C98">
        <v>24037417</v>
      </c>
      <c r="D98" t="s">
        <v>52</v>
      </c>
      <c r="E98" t="s">
        <v>13</v>
      </c>
      <c r="F98" t="s">
        <v>27</v>
      </c>
      <c r="G98">
        <v>8.5</v>
      </c>
      <c r="H98">
        <v>8</v>
      </c>
      <c r="I98">
        <v>9.8000000000000007</v>
      </c>
      <c r="J98">
        <f>VLOOKUP(C98,exam!$D$29:$V$359,19,0)</f>
        <v>89</v>
      </c>
      <c r="K98">
        <v>10</v>
      </c>
      <c r="L98" s="43">
        <f t="shared" si="5"/>
        <v>65.966666666666669</v>
      </c>
      <c r="M98" s="43">
        <f t="shared" si="6"/>
        <v>65.966666666666669</v>
      </c>
      <c r="N98" t="str">
        <f t="shared" si="8"/>
        <v>P</v>
      </c>
    </row>
    <row r="99" spans="1:14">
      <c r="A99" t="s">
        <v>55</v>
      </c>
      <c r="B99">
        <v>112936</v>
      </c>
      <c r="C99">
        <v>24168810</v>
      </c>
      <c r="D99" t="s">
        <v>56</v>
      </c>
      <c r="E99" t="s">
        <v>13</v>
      </c>
      <c r="F99" t="s">
        <v>27</v>
      </c>
      <c r="G99">
        <v>8</v>
      </c>
      <c r="H99">
        <v>9</v>
      </c>
      <c r="I99">
        <v>10</v>
      </c>
      <c r="J99">
        <f>VLOOKUP(C99,exam!$D$29:$V$359,19,0)</f>
        <v>90</v>
      </c>
      <c r="K99">
        <v>10</v>
      </c>
      <c r="L99" s="43">
        <f t="shared" si="5"/>
        <v>67</v>
      </c>
      <c r="M99" s="43">
        <f t="shared" si="6"/>
        <v>67</v>
      </c>
      <c r="N99" t="str">
        <f t="shared" si="8"/>
        <v>P</v>
      </c>
    </row>
    <row r="100" spans="1:14">
      <c r="A100" t="s">
        <v>71</v>
      </c>
      <c r="B100">
        <v>107153</v>
      </c>
      <c r="C100">
        <v>24079475</v>
      </c>
      <c r="D100" t="s">
        <v>72</v>
      </c>
      <c r="E100" t="s">
        <v>13</v>
      </c>
      <c r="F100" t="s">
        <v>27</v>
      </c>
      <c r="G100">
        <v>9</v>
      </c>
      <c r="H100">
        <v>9.5</v>
      </c>
      <c r="I100">
        <v>10</v>
      </c>
      <c r="J100">
        <f>VLOOKUP(C100,exam!$D$29:$V$359,19,0)</f>
        <v>89.5</v>
      </c>
      <c r="K100">
        <v>10</v>
      </c>
      <c r="L100" s="43">
        <f t="shared" si="5"/>
        <v>68.333333333333329</v>
      </c>
      <c r="M100" s="43">
        <f t="shared" si="6"/>
        <v>68.333333333333329</v>
      </c>
      <c r="N100" t="str">
        <f t="shared" si="8"/>
        <v>PR</v>
      </c>
    </row>
    <row r="101" spans="1:14">
      <c r="A101" t="s">
        <v>89</v>
      </c>
      <c r="B101">
        <v>109888</v>
      </c>
      <c r="C101">
        <v>24122791</v>
      </c>
      <c r="D101" t="s">
        <v>90</v>
      </c>
      <c r="E101" t="s">
        <v>13</v>
      </c>
      <c r="F101" t="s">
        <v>27</v>
      </c>
      <c r="G101">
        <v>9</v>
      </c>
      <c r="H101">
        <v>8.5</v>
      </c>
      <c r="I101">
        <v>9.5</v>
      </c>
      <c r="J101">
        <f>VLOOKUP(C101,exam!$D$29:$V$359,19,0)</f>
        <v>145.5</v>
      </c>
      <c r="K101">
        <v>10</v>
      </c>
      <c r="L101" s="43">
        <f t="shared" si="5"/>
        <v>85.5</v>
      </c>
      <c r="M101" s="43">
        <f t="shared" si="6"/>
        <v>85.5</v>
      </c>
      <c r="N101" t="str">
        <f t="shared" si="8"/>
        <v>H</v>
      </c>
    </row>
    <row r="102" spans="1:14">
      <c r="A102" t="s">
        <v>93</v>
      </c>
      <c r="B102">
        <v>104245</v>
      </c>
      <c r="C102">
        <v>24036176</v>
      </c>
      <c r="D102" t="s">
        <v>94</v>
      </c>
      <c r="E102" t="s">
        <v>13</v>
      </c>
      <c r="F102" t="s">
        <v>27</v>
      </c>
      <c r="G102">
        <v>7</v>
      </c>
      <c r="H102">
        <v>9.5</v>
      </c>
      <c r="I102">
        <v>9.8000000000000007</v>
      </c>
      <c r="J102">
        <f>VLOOKUP(C102,exam!$D$29:$V$359,19,0)</f>
        <v>86</v>
      </c>
      <c r="K102">
        <v>10</v>
      </c>
      <c r="L102" s="43">
        <f t="shared" si="5"/>
        <v>64.966666666666669</v>
      </c>
      <c r="M102" s="43">
        <f t="shared" si="6"/>
        <v>64.966666666666669</v>
      </c>
      <c r="N102" t="str">
        <f t="shared" si="8"/>
        <v>P</v>
      </c>
    </row>
    <row r="103" spans="1:14">
      <c r="A103" t="s">
        <v>95</v>
      </c>
      <c r="B103">
        <v>112935</v>
      </c>
      <c r="C103">
        <v>24168827</v>
      </c>
      <c r="D103" t="s">
        <v>96</v>
      </c>
      <c r="E103" t="s">
        <v>13</v>
      </c>
      <c r="F103" t="s">
        <v>27</v>
      </c>
      <c r="G103">
        <v>9</v>
      </c>
      <c r="H103">
        <v>8.5</v>
      </c>
      <c r="I103">
        <v>10</v>
      </c>
      <c r="J103">
        <f>VLOOKUP(C103,exam!$D$29:$V$359,19,0)</f>
        <v>101.5</v>
      </c>
      <c r="K103">
        <v>10</v>
      </c>
      <c r="L103" s="43">
        <f t="shared" si="5"/>
        <v>71.333333333333343</v>
      </c>
      <c r="M103" s="43">
        <f t="shared" si="6"/>
        <v>71.333333333333343</v>
      </c>
      <c r="N103" t="str">
        <f t="shared" si="8"/>
        <v>PR</v>
      </c>
    </row>
    <row r="104" spans="1:14">
      <c r="A104" t="s">
        <v>107</v>
      </c>
      <c r="B104">
        <v>103690</v>
      </c>
      <c r="C104">
        <v>24037009</v>
      </c>
      <c r="D104" t="s">
        <v>108</v>
      </c>
      <c r="E104" t="s">
        <v>13</v>
      </c>
      <c r="F104" t="s">
        <v>27</v>
      </c>
      <c r="G104">
        <v>9</v>
      </c>
      <c r="H104">
        <v>10</v>
      </c>
      <c r="I104">
        <v>10</v>
      </c>
      <c r="J104">
        <f>VLOOKUP(C104,exam!$D$29:$V$359,19,0)</f>
        <v>134.5</v>
      </c>
      <c r="K104">
        <v>10</v>
      </c>
      <c r="L104" s="43">
        <f t="shared" si="5"/>
        <v>83.833333333333343</v>
      </c>
      <c r="M104" s="43">
        <f t="shared" si="6"/>
        <v>83.833333333333343</v>
      </c>
      <c r="N104" t="str">
        <f t="shared" si="8"/>
        <v>PR</v>
      </c>
    </row>
    <row r="105" spans="1:14">
      <c r="A105" t="s">
        <v>109</v>
      </c>
      <c r="B105">
        <v>103141</v>
      </c>
      <c r="C105">
        <v>24036737</v>
      </c>
      <c r="D105" t="s">
        <v>110</v>
      </c>
      <c r="E105" t="s">
        <v>13</v>
      </c>
      <c r="F105" t="s">
        <v>27</v>
      </c>
      <c r="G105">
        <v>9</v>
      </c>
      <c r="H105">
        <v>9.5</v>
      </c>
      <c r="I105">
        <v>10</v>
      </c>
      <c r="J105">
        <f>VLOOKUP(C105,exam!$D$29:$V$359,19,0)</f>
        <v>148.5</v>
      </c>
      <c r="K105">
        <v>10</v>
      </c>
      <c r="L105" s="43">
        <f t="shared" si="5"/>
        <v>88</v>
      </c>
      <c r="M105" s="43">
        <f t="shared" si="6"/>
        <v>88</v>
      </c>
      <c r="N105" t="str">
        <f t="shared" si="8"/>
        <v>H</v>
      </c>
    </row>
    <row r="106" spans="1:14">
      <c r="A106" t="s">
        <v>129</v>
      </c>
      <c r="B106">
        <v>109971</v>
      </c>
      <c r="C106">
        <v>24122927</v>
      </c>
      <c r="D106" t="s">
        <v>130</v>
      </c>
      <c r="E106" t="s">
        <v>13</v>
      </c>
      <c r="F106" t="s">
        <v>27</v>
      </c>
      <c r="G106">
        <v>8</v>
      </c>
      <c r="H106">
        <v>10</v>
      </c>
      <c r="I106">
        <v>9.5</v>
      </c>
      <c r="J106">
        <f>VLOOKUP(C106,exam!$D$29:$V$359,19,0)</f>
        <v>151.5</v>
      </c>
      <c r="K106">
        <v>10</v>
      </c>
      <c r="L106" s="43">
        <f t="shared" si="5"/>
        <v>88</v>
      </c>
      <c r="M106" s="43">
        <f t="shared" si="6"/>
        <v>88</v>
      </c>
      <c r="N106" t="str">
        <f t="shared" si="8"/>
        <v>H</v>
      </c>
    </row>
    <row r="107" spans="1:14">
      <c r="A107" t="s">
        <v>137</v>
      </c>
      <c r="B107">
        <v>109765</v>
      </c>
      <c r="C107">
        <v>24119561</v>
      </c>
      <c r="D107" t="s">
        <v>138</v>
      </c>
      <c r="E107" t="s">
        <v>13</v>
      </c>
      <c r="F107" t="s">
        <v>27</v>
      </c>
      <c r="G107">
        <v>10</v>
      </c>
      <c r="H107">
        <v>9.5</v>
      </c>
      <c r="I107">
        <v>9.8000000000000007</v>
      </c>
      <c r="J107">
        <f>VLOOKUP(C107,exam!$D$29:$V$359,19,0)</f>
        <v>147.5</v>
      </c>
      <c r="K107">
        <v>10</v>
      </c>
      <c r="L107" s="43">
        <f t="shared" si="5"/>
        <v>88.466666666666669</v>
      </c>
      <c r="M107" s="43">
        <f t="shared" si="6"/>
        <v>88.466666666666669</v>
      </c>
      <c r="N107" t="str">
        <f t="shared" si="8"/>
        <v>H</v>
      </c>
    </row>
    <row r="108" spans="1:14">
      <c r="A108" t="s">
        <v>147</v>
      </c>
      <c r="B108">
        <v>107226</v>
      </c>
      <c r="C108">
        <v>24079509</v>
      </c>
      <c r="D108" t="s">
        <v>148</v>
      </c>
      <c r="E108" t="s">
        <v>13</v>
      </c>
      <c r="F108" t="s">
        <v>27</v>
      </c>
      <c r="G108">
        <v>8.75</v>
      </c>
      <c r="H108">
        <v>8.5</v>
      </c>
      <c r="I108">
        <v>9</v>
      </c>
      <c r="J108">
        <f>VLOOKUP(C108,exam!$D$29:$V$359,19,0)</f>
        <v>155</v>
      </c>
      <c r="K108">
        <v>10</v>
      </c>
      <c r="L108" s="43">
        <f t="shared" si="5"/>
        <v>87.916666666666657</v>
      </c>
      <c r="M108" s="43">
        <f t="shared" si="6"/>
        <v>87.916666666666657</v>
      </c>
      <c r="N108" t="str">
        <f t="shared" si="8"/>
        <v>H</v>
      </c>
    </row>
    <row r="109" spans="1:14">
      <c r="A109" t="s">
        <v>169</v>
      </c>
      <c r="B109">
        <v>83336</v>
      </c>
      <c r="C109">
        <v>17483548</v>
      </c>
      <c r="D109" t="s">
        <v>170</v>
      </c>
      <c r="E109" t="s">
        <v>13</v>
      </c>
      <c r="F109" t="s">
        <v>27</v>
      </c>
      <c r="G109">
        <v>8.5</v>
      </c>
      <c r="H109">
        <v>9.25</v>
      </c>
      <c r="I109">
        <v>10</v>
      </c>
      <c r="J109">
        <f>VLOOKUP(C109,exam!$D$29:$V$359,19,0)</f>
        <v>95.5</v>
      </c>
      <c r="K109">
        <v>10</v>
      </c>
      <c r="L109" s="43">
        <f t="shared" si="5"/>
        <v>69.583333333333329</v>
      </c>
      <c r="M109" s="43">
        <f t="shared" si="6"/>
        <v>69.583333333333329</v>
      </c>
      <c r="N109" t="str">
        <f t="shared" si="8"/>
        <v>PR</v>
      </c>
    </row>
    <row r="110" spans="1:14">
      <c r="A110" t="s">
        <v>173</v>
      </c>
      <c r="B110">
        <v>103891</v>
      </c>
      <c r="C110">
        <v>24036329</v>
      </c>
      <c r="D110" t="s">
        <v>174</v>
      </c>
      <c r="E110" t="s">
        <v>13</v>
      </c>
      <c r="F110" t="s">
        <v>27</v>
      </c>
      <c r="G110">
        <v>8.5</v>
      </c>
      <c r="H110">
        <v>9.5</v>
      </c>
      <c r="I110">
        <v>9.6</v>
      </c>
      <c r="J110">
        <f>VLOOKUP(C110,exam!$D$29:$V$359,19,0)</f>
        <v>112.5</v>
      </c>
      <c r="K110">
        <v>10</v>
      </c>
      <c r="L110" s="43">
        <f t="shared" si="5"/>
        <v>75.099999999999994</v>
      </c>
      <c r="M110" s="43">
        <f t="shared" si="6"/>
        <v>75.099999999999994</v>
      </c>
      <c r="N110" t="str">
        <f t="shared" si="8"/>
        <v>PR</v>
      </c>
    </row>
    <row r="111" spans="1:14">
      <c r="A111" t="s">
        <v>177</v>
      </c>
      <c r="B111">
        <v>103445</v>
      </c>
      <c r="C111">
        <v>24037451</v>
      </c>
      <c r="D111" t="s">
        <v>178</v>
      </c>
      <c r="E111" t="s">
        <v>13</v>
      </c>
      <c r="F111" t="s">
        <v>27</v>
      </c>
      <c r="G111">
        <v>9</v>
      </c>
      <c r="H111">
        <v>7</v>
      </c>
      <c r="I111">
        <v>9.6</v>
      </c>
      <c r="J111">
        <f>VLOOKUP(C111,exam!$D$29:$V$359,19,0)</f>
        <v>105.5</v>
      </c>
      <c r="K111">
        <v>10</v>
      </c>
      <c r="L111" s="43">
        <f t="shared" si="5"/>
        <v>70.766666666666666</v>
      </c>
      <c r="M111" s="43">
        <f t="shared" si="6"/>
        <v>70.766666666666666</v>
      </c>
      <c r="N111" t="str">
        <f t="shared" si="8"/>
        <v>PR</v>
      </c>
    </row>
    <row r="112" spans="1:14">
      <c r="A112" t="s">
        <v>185</v>
      </c>
      <c r="B112">
        <v>110331</v>
      </c>
      <c r="C112">
        <v>24129523</v>
      </c>
      <c r="D112" t="s">
        <v>186</v>
      </c>
      <c r="E112" t="s">
        <v>13</v>
      </c>
      <c r="F112" t="s">
        <v>27</v>
      </c>
      <c r="G112">
        <v>9</v>
      </c>
      <c r="H112">
        <v>9.5</v>
      </c>
      <c r="I112">
        <v>10</v>
      </c>
      <c r="J112">
        <f>VLOOKUP(C112,exam!$D$29:$V$359,19,0)</f>
        <v>155.5</v>
      </c>
      <c r="K112">
        <v>10</v>
      </c>
      <c r="L112" s="43">
        <f t="shared" si="5"/>
        <v>90.333333333333343</v>
      </c>
      <c r="M112" s="43">
        <f t="shared" si="6"/>
        <v>90.333333333333343</v>
      </c>
      <c r="N112" t="str">
        <f t="shared" si="8"/>
        <v>H</v>
      </c>
    </row>
    <row r="113" spans="1:14">
      <c r="A113" t="s">
        <v>193</v>
      </c>
      <c r="B113">
        <v>108241</v>
      </c>
      <c r="C113">
        <v>24096543</v>
      </c>
      <c r="D113" t="s">
        <v>194</v>
      </c>
      <c r="E113" t="s">
        <v>13</v>
      </c>
      <c r="F113" t="s">
        <v>27</v>
      </c>
      <c r="G113">
        <v>7</v>
      </c>
      <c r="H113">
        <v>8.25</v>
      </c>
      <c r="I113">
        <v>10</v>
      </c>
      <c r="J113">
        <f>VLOOKUP(C113,exam!$D$29:$V$359,19,0)</f>
        <v>144</v>
      </c>
      <c r="K113">
        <v>10</v>
      </c>
      <c r="L113" s="43">
        <f t="shared" si="5"/>
        <v>83.25</v>
      </c>
      <c r="M113" s="43">
        <f t="shared" si="6"/>
        <v>83.25</v>
      </c>
      <c r="N113" t="str">
        <f t="shared" si="8"/>
        <v>PR</v>
      </c>
    </row>
    <row r="114" spans="1:14">
      <c r="A114" t="s">
        <v>201</v>
      </c>
      <c r="B114">
        <v>103998</v>
      </c>
      <c r="C114">
        <v>24035938</v>
      </c>
      <c r="D114" t="s">
        <v>202</v>
      </c>
      <c r="E114" t="s">
        <v>13</v>
      </c>
      <c r="F114" t="s">
        <v>27</v>
      </c>
      <c r="G114">
        <v>9</v>
      </c>
      <c r="H114">
        <v>9.5</v>
      </c>
      <c r="I114">
        <v>10</v>
      </c>
      <c r="J114">
        <f>VLOOKUP(C114,exam!$D$29:$V$359,19,0)</f>
        <v>130.5</v>
      </c>
      <c r="K114">
        <v>10</v>
      </c>
      <c r="L114" s="43">
        <f t="shared" si="5"/>
        <v>82</v>
      </c>
      <c r="M114" s="43">
        <f t="shared" si="6"/>
        <v>82</v>
      </c>
      <c r="N114" t="str">
        <f t="shared" si="8"/>
        <v>PR</v>
      </c>
    </row>
    <row r="115" spans="1:14">
      <c r="A115" t="s">
        <v>221</v>
      </c>
      <c r="B115">
        <v>107201</v>
      </c>
      <c r="C115">
        <v>24079424</v>
      </c>
      <c r="D115" t="s">
        <v>222</v>
      </c>
      <c r="E115" t="s">
        <v>13</v>
      </c>
      <c r="F115" t="s">
        <v>27</v>
      </c>
      <c r="G115">
        <v>9</v>
      </c>
      <c r="H115">
        <v>6</v>
      </c>
      <c r="I115">
        <v>8.5</v>
      </c>
      <c r="J115">
        <f>VLOOKUP(C115,exam!$D$29:$V$359,19,0)</f>
        <v>151.5</v>
      </c>
      <c r="K115">
        <v>10</v>
      </c>
      <c r="L115" s="43">
        <f t="shared" si="5"/>
        <v>84</v>
      </c>
      <c r="M115" s="43">
        <f t="shared" si="6"/>
        <v>84</v>
      </c>
      <c r="N115" t="str">
        <f t="shared" si="8"/>
        <v>PR</v>
      </c>
    </row>
    <row r="116" spans="1:14">
      <c r="A116" t="s">
        <v>263</v>
      </c>
      <c r="B116">
        <v>104392</v>
      </c>
      <c r="C116">
        <v>24036125</v>
      </c>
      <c r="D116" t="s">
        <v>264</v>
      </c>
      <c r="E116" t="s">
        <v>13</v>
      </c>
      <c r="F116" t="s">
        <v>27</v>
      </c>
      <c r="G116">
        <v>9</v>
      </c>
      <c r="H116">
        <v>9.5</v>
      </c>
      <c r="I116">
        <v>10</v>
      </c>
      <c r="J116">
        <f>VLOOKUP(C116,exam!$D$29:$V$359,19,0)</f>
        <v>139</v>
      </c>
      <c r="K116">
        <v>10</v>
      </c>
      <c r="L116" s="43">
        <f t="shared" si="5"/>
        <v>84.833333333333343</v>
      </c>
      <c r="M116" s="43">
        <f t="shared" si="6"/>
        <v>84.833333333333343</v>
      </c>
      <c r="N116" t="str">
        <f t="shared" si="8"/>
        <v>PR</v>
      </c>
    </row>
    <row r="117" spans="1:14">
      <c r="A117" t="s">
        <v>277</v>
      </c>
      <c r="B117">
        <v>104467</v>
      </c>
      <c r="C117">
        <v>24011934</v>
      </c>
      <c r="D117" t="s">
        <v>278</v>
      </c>
      <c r="E117" t="s">
        <v>13</v>
      </c>
      <c r="F117" t="s">
        <v>27</v>
      </c>
      <c r="G117">
        <v>8.25</v>
      </c>
      <c r="H117">
        <v>7.75</v>
      </c>
      <c r="I117">
        <v>9.6</v>
      </c>
      <c r="J117">
        <f>VLOOKUP(C117,exam!$D$29:$V$359,19,0)</f>
        <v>150</v>
      </c>
      <c r="K117">
        <v>10</v>
      </c>
      <c r="L117" s="43">
        <f t="shared" si="5"/>
        <v>85.6</v>
      </c>
      <c r="M117" s="43">
        <f t="shared" si="6"/>
        <v>85.6</v>
      </c>
      <c r="N117" t="str">
        <f t="shared" si="8"/>
        <v>H</v>
      </c>
    </row>
    <row r="118" spans="1:14">
      <c r="A118" t="s">
        <v>287</v>
      </c>
      <c r="B118">
        <v>109970</v>
      </c>
      <c r="C118">
        <v>24122604</v>
      </c>
      <c r="D118" t="s">
        <v>288</v>
      </c>
      <c r="E118" t="s">
        <v>13</v>
      </c>
      <c r="F118" t="s">
        <v>27</v>
      </c>
      <c r="G118">
        <v>9</v>
      </c>
      <c r="H118">
        <v>8</v>
      </c>
      <c r="I118">
        <v>8.1</v>
      </c>
      <c r="J118">
        <f>VLOOKUP(C118,exam!$D$29:$V$359,19,0)</f>
        <v>107.5</v>
      </c>
      <c r="K118">
        <v>10</v>
      </c>
      <c r="L118" s="43">
        <f t="shared" si="5"/>
        <v>70.933333333333337</v>
      </c>
      <c r="M118" s="43">
        <f t="shared" si="6"/>
        <v>70.933333333333337</v>
      </c>
      <c r="N118" t="str">
        <f t="shared" si="8"/>
        <v>PR</v>
      </c>
    </row>
    <row r="119" spans="1:14">
      <c r="A119" t="s">
        <v>293</v>
      </c>
      <c r="B119">
        <v>109871</v>
      </c>
      <c r="C119">
        <v>24122910</v>
      </c>
      <c r="D119" t="s">
        <v>294</v>
      </c>
      <c r="E119" t="s">
        <v>13</v>
      </c>
      <c r="F119" t="s">
        <v>27</v>
      </c>
      <c r="G119">
        <v>9</v>
      </c>
      <c r="H119">
        <v>9.25</v>
      </c>
      <c r="I119">
        <v>10</v>
      </c>
      <c r="J119">
        <f>VLOOKUP(C119,exam!$D$29:$V$359,19,0)</f>
        <v>67</v>
      </c>
      <c r="K119">
        <v>10</v>
      </c>
      <c r="L119" s="43">
        <f t="shared" si="5"/>
        <v>60.583333333333329</v>
      </c>
      <c r="M119" s="43">
        <f t="shared" si="6"/>
        <v>60.583333333333329</v>
      </c>
      <c r="N119" t="str">
        <f t="shared" si="8"/>
        <v>P</v>
      </c>
    </row>
    <row r="120" spans="1:14">
      <c r="A120" t="s">
        <v>307</v>
      </c>
      <c r="B120">
        <v>27010</v>
      </c>
      <c r="C120">
        <v>13963822</v>
      </c>
      <c r="D120" t="s">
        <v>308</v>
      </c>
      <c r="E120" t="s">
        <v>13</v>
      </c>
      <c r="F120" t="s">
        <v>27</v>
      </c>
      <c r="G120">
        <v>10</v>
      </c>
      <c r="H120">
        <v>9.5</v>
      </c>
      <c r="I120">
        <v>10</v>
      </c>
      <c r="J120">
        <f>VLOOKUP(C120,exam!$D$29:$V$359,19,0)</f>
        <v>134</v>
      </c>
      <c r="K120">
        <v>10</v>
      </c>
      <c r="L120" s="43">
        <f t="shared" si="5"/>
        <v>84.166666666666657</v>
      </c>
      <c r="M120" s="43">
        <f t="shared" si="6"/>
        <v>84.166666666666657</v>
      </c>
      <c r="N120" t="str">
        <f t="shared" si="8"/>
        <v>PR</v>
      </c>
    </row>
    <row r="121" spans="1:14">
      <c r="A121" t="s">
        <v>309</v>
      </c>
      <c r="B121">
        <v>20388</v>
      </c>
      <c r="C121">
        <v>17149260</v>
      </c>
      <c r="D121" t="s">
        <v>310</v>
      </c>
      <c r="E121" t="s">
        <v>13</v>
      </c>
      <c r="F121" t="s">
        <v>27</v>
      </c>
      <c r="G121">
        <v>9</v>
      </c>
      <c r="H121">
        <v>9.75</v>
      </c>
      <c r="I121">
        <v>9.5</v>
      </c>
      <c r="J121">
        <f>VLOOKUP(C121,exam!$D$29:$V$359,19,0)</f>
        <v>114.5</v>
      </c>
      <c r="K121">
        <v>10</v>
      </c>
      <c r="L121" s="43">
        <f t="shared" si="5"/>
        <v>76.416666666666657</v>
      </c>
      <c r="M121" s="43">
        <f t="shared" si="6"/>
        <v>76.416666666666657</v>
      </c>
      <c r="N121" t="str">
        <f t="shared" si="8"/>
        <v>PR</v>
      </c>
    </row>
    <row r="122" spans="1:14">
      <c r="A122" t="s">
        <v>343</v>
      </c>
      <c r="B122">
        <v>107217</v>
      </c>
      <c r="C122">
        <v>24079645</v>
      </c>
      <c r="D122" t="s">
        <v>344</v>
      </c>
      <c r="E122" t="s">
        <v>13</v>
      </c>
      <c r="F122" t="s">
        <v>27</v>
      </c>
      <c r="G122">
        <v>9</v>
      </c>
      <c r="H122">
        <v>8.5</v>
      </c>
      <c r="I122">
        <v>9.6</v>
      </c>
      <c r="J122">
        <f>VLOOKUP(C122,exam!$D$29:$V$359,19,0)</f>
        <v>128.5</v>
      </c>
      <c r="K122">
        <v>10</v>
      </c>
      <c r="L122" s="43">
        <f t="shared" si="5"/>
        <v>79.933333333333337</v>
      </c>
      <c r="M122" s="43">
        <f t="shared" si="6"/>
        <v>79.933333333333337</v>
      </c>
      <c r="N122" t="str">
        <f t="shared" si="8"/>
        <v>PR</v>
      </c>
    </row>
    <row r="123" spans="1:14">
      <c r="A123" t="s">
        <v>347</v>
      </c>
      <c r="B123">
        <v>103294</v>
      </c>
      <c r="C123">
        <v>24036363</v>
      </c>
      <c r="D123" t="s">
        <v>348</v>
      </c>
      <c r="E123" t="s">
        <v>13</v>
      </c>
      <c r="F123" t="s">
        <v>27</v>
      </c>
      <c r="G123">
        <v>9</v>
      </c>
      <c r="H123">
        <v>9.75</v>
      </c>
      <c r="I123">
        <v>9.5</v>
      </c>
      <c r="J123">
        <f>VLOOKUP(C123,exam!$D$29:$V$359,19,0)</f>
        <v>135.5</v>
      </c>
      <c r="K123">
        <v>10</v>
      </c>
      <c r="L123" s="43">
        <f t="shared" si="5"/>
        <v>83.416666666666657</v>
      </c>
      <c r="M123" s="43">
        <f t="shared" si="6"/>
        <v>83.416666666666657</v>
      </c>
      <c r="N123" t="str">
        <f t="shared" si="8"/>
        <v>PR</v>
      </c>
    </row>
    <row r="124" spans="1:14">
      <c r="A124" t="s">
        <v>349</v>
      </c>
      <c r="B124">
        <v>108062</v>
      </c>
      <c r="C124">
        <v>24092820</v>
      </c>
      <c r="D124" t="s">
        <v>350</v>
      </c>
      <c r="E124" t="s">
        <v>13</v>
      </c>
      <c r="F124" t="s">
        <v>27</v>
      </c>
      <c r="G124">
        <v>9.5</v>
      </c>
      <c r="H124">
        <v>9.75</v>
      </c>
      <c r="I124">
        <v>10</v>
      </c>
      <c r="J124">
        <f>VLOOKUP(C124,exam!$D$29:$V$359,19,0)</f>
        <v>138</v>
      </c>
      <c r="K124">
        <v>10</v>
      </c>
      <c r="L124" s="43">
        <f t="shared" si="5"/>
        <v>85.25</v>
      </c>
      <c r="M124" s="43">
        <f t="shared" si="6"/>
        <v>85.25</v>
      </c>
      <c r="N124" t="str">
        <f t="shared" si="8"/>
        <v>H</v>
      </c>
    </row>
    <row r="125" spans="1:14">
      <c r="A125" t="s">
        <v>367</v>
      </c>
      <c r="B125">
        <v>103190</v>
      </c>
      <c r="C125">
        <v>24036142</v>
      </c>
      <c r="D125" t="s">
        <v>368</v>
      </c>
      <c r="E125" t="s">
        <v>13</v>
      </c>
      <c r="F125" t="s">
        <v>27</v>
      </c>
      <c r="G125">
        <v>8.5</v>
      </c>
      <c r="H125">
        <v>9.5</v>
      </c>
      <c r="I125">
        <v>10</v>
      </c>
      <c r="J125">
        <f>VLOOKUP(C125,exam!$D$29:$V$359,19,0)</f>
        <v>156</v>
      </c>
      <c r="K125">
        <v>10</v>
      </c>
      <c r="L125" s="43">
        <f t="shared" si="5"/>
        <v>90</v>
      </c>
      <c r="M125" s="43">
        <f t="shared" si="6"/>
        <v>90</v>
      </c>
      <c r="N125" t="str">
        <f t="shared" si="8"/>
        <v>H</v>
      </c>
    </row>
    <row r="126" spans="1:14">
      <c r="A126" t="s">
        <v>369</v>
      </c>
      <c r="B126">
        <v>104411</v>
      </c>
      <c r="C126">
        <v>24035836</v>
      </c>
      <c r="D126" t="s">
        <v>370</v>
      </c>
      <c r="E126" t="s">
        <v>13</v>
      </c>
      <c r="F126" t="s">
        <v>27</v>
      </c>
      <c r="G126">
        <v>9</v>
      </c>
      <c r="H126">
        <v>9.5</v>
      </c>
      <c r="I126">
        <v>10</v>
      </c>
      <c r="J126">
        <f>VLOOKUP(C126,exam!$D$29:$V$359,19,0)</f>
        <v>140</v>
      </c>
      <c r="K126">
        <v>10</v>
      </c>
      <c r="L126" s="43">
        <f t="shared" si="5"/>
        <v>85.166666666666657</v>
      </c>
      <c r="M126" s="43">
        <f t="shared" si="6"/>
        <v>85.166666666666657</v>
      </c>
      <c r="N126" t="str">
        <f t="shared" si="8"/>
        <v>PR</v>
      </c>
    </row>
    <row r="127" spans="1:14">
      <c r="A127" t="s">
        <v>399</v>
      </c>
      <c r="B127">
        <v>109960</v>
      </c>
      <c r="C127">
        <v>24122587</v>
      </c>
      <c r="D127" t="s">
        <v>400</v>
      </c>
      <c r="E127" t="s">
        <v>13</v>
      </c>
      <c r="F127" t="s">
        <v>27</v>
      </c>
      <c r="G127">
        <v>7.75</v>
      </c>
      <c r="H127">
        <v>8.25</v>
      </c>
      <c r="I127">
        <v>9.5</v>
      </c>
      <c r="J127">
        <f>VLOOKUP(C127,exam!$D$29:$V$359,19,0)</f>
        <v>107.5</v>
      </c>
      <c r="K127">
        <v>10</v>
      </c>
      <c r="L127" s="43">
        <f t="shared" si="5"/>
        <v>71.333333333333343</v>
      </c>
      <c r="M127" s="43">
        <f t="shared" si="6"/>
        <v>71.333333333333343</v>
      </c>
      <c r="N127" t="str">
        <f t="shared" si="8"/>
        <v>PR</v>
      </c>
    </row>
    <row r="128" spans="1:14">
      <c r="A128" t="s">
        <v>407</v>
      </c>
      <c r="B128">
        <v>109667</v>
      </c>
      <c r="C128">
        <v>24119527</v>
      </c>
      <c r="D128" t="s">
        <v>408</v>
      </c>
      <c r="E128" t="s">
        <v>13</v>
      </c>
      <c r="F128" t="s">
        <v>27</v>
      </c>
      <c r="G128">
        <v>10</v>
      </c>
      <c r="H128">
        <v>9.5</v>
      </c>
      <c r="I128">
        <v>10</v>
      </c>
      <c r="J128">
        <f>VLOOKUP(C128,exam!$D$29:$V$359,19,0)</f>
        <v>118.5</v>
      </c>
      <c r="K128">
        <v>10</v>
      </c>
      <c r="L128" s="43">
        <f t="shared" si="5"/>
        <v>79</v>
      </c>
      <c r="M128" s="43">
        <f t="shared" si="6"/>
        <v>79</v>
      </c>
      <c r="N128" t="str">
        <f t="shared" ref="N128:N159" si="9">IF(M128="","",IF(M128&gt;=$Q$3,$P$3,IF(M128&gt;=$Q$4,$P$4,IF(M128&gt;=$Q$5,$P$5,"P"))))</f>
        <v>PR</v>
      </c>
    </row>
    <row r="129" spans="1:14">
      <c r="A129" t="s">
        <v>415</v>
      </c>
      <c r="B129">
        <v>104406</v>
      </c>
      <c r="C129">
        <v>24036448</v>
      </c>
      <c r="D129" t="s">
        <v>416</v>
      </c>
      <c r="E129" t="s">
        <v>13</v>
      </c>
      <c r="F129" t="s">
        <v>27</v>
      </c>
      <c r="G129">
        <v>9</v>
      </c>
      <c r="H129">
        <v>8.5</v>
      </c>
      <c r="I129">
        <v>8.5</v>
      </c>
      <c r="J129">
        <f>VLOOKUP(C129,exam!$D$29:$V$359,19,0)</f>
        <v>154.5</v>
      </c>
      <c r="K129">
        <v>10</v>
      </c>
      <c r="L129" s="43">
        <f t="shared" si="5"/>
        <v>87.5</v>
      </c>
      <c r="M129" s="43">
        <f t="shared" si="6"/>
        <v>87.5</v>
      </c>
      <c r="N129" t="str">
        <f t="shared" si="9"/>
        <v>H</v>
      </c>
    </row>
    <row r="130" spans="1:14">
      <c r="A130" t="s">
        <v>425</v>
      </c>
      <c r="B130">
        <v>103679</v>
      </c>
      <c r="C130">
        <v>24036091</v>
      </c>
      <c r="D130" t="s">
        <v>426</v>
      </c>
      <c r="E130" t="s">
        <v>13</v>
      </c>
      <c r="F130" t="s">
        <v>27</v>
      </c>
      <c r="G130">
        <v>8.5</v>
      </c>
      <c r="H130">
        <v>9</v>
      </c>
      <c r="I130">
        <v>8.1999999999999993</v>
      </c>
      <c r="J130">
        <f>VLOOKUP(C130,exam!$D$29:$V$359,19,0)</f>
        <v>148.5</v>
      </c>
      <c r="K130">
        <v>10</v>
      </c>
      <c r="L130" s="43">
        <f t="shared" si="5"/>
        <v>85.2</v>
      </c>
      <c r="M130" s="43">
        <f t="shared" si="6"/>
        <v>85.2</v>
      </c>
      <c r="N130" t="str">
        <f t="shared" si="9"/>
        <v>PR</v>
      </c>
    </row>
    <row r="131" spans="1:14">
      <c r="A131" t="s">
        <v>439</v>
      </c>
      <c r="B131">
        <v>103754</v>
      </c>
      <c r="C131">
        <v>24035819</v>
      </c>
      <c r="D131" t="s">
        <v>440</v>
      </c>
      <c r="E131" t="s">
        <v>13</v>
      </c>
      <c r="F131" t="s">
        <v>27</v>
      </c>
      <c r="G131">
        <v>8.5</v>
      </c>
      <c r="H131">
        <v>8.25</v>
      </c>
      <c r="I131">
        <v>10</v>
      </c>
      <c r="J131">
        <f>VLOOKUP(C131,exam!$D$29:$V$359,19,0)</f>
        <v>127.5</v>
      </c>
      <c r="K131">
        <v>10</v>
      </c>
      <c r="L131" s="43">
        <f t="shared" si="5"/>
        <v>79.25</v>
      </c>
      <c r="M131" s="43">
        <f t="shared" si="6"/>
        <v>79.25</v>
      </c>
      <c r="N131" t="str">
        <f t="shared" si="9"/>
        <v>PR</v>
      </c>
    </row>
    <row r="132" spans="1:14">
      <c r="A132" t="s">
        <v>449</v>
      </c>
      <c r="B132">
        <v>110101</v>
      </c>
      <c r="C132">
        <v>12418114</v>
      </c>
      <c r="D132" t="s">
        <v>450</v>
      </c>
      <c r="E132" t="s">
        <v>13</v>
      </c>
      <c r="F132" t="s">
        <v>27</v>
      </c>
      <c r="G132">
        <v>9</v>
      </c>
      <c r="H132">
        <v>3.25</v>
      </c>
      <c r="I132">
        <v>9.6</v>
      </c>
      <c r="J132">
        <v>111</v>
      </c>
      <c r="K132">
        <v>10</v>
      </c>
      <c r="L132" s="43">
        <f t="shared" ref="L132:L195" si="10">SUM(K132,I132,H132,G132)+J132/3</f>
        <v>68.849999999999994</v>
      </c>
      <c r="M132" s="43">
        <f t="shared" ref="M132:M195" si="11">IF(ISERROR(L132),"",L132)</f>
        <v>68.849999999999994</v>
      </c>
      <c r="N132" t="str">
        <f t="shared" si="9"/>
        <v>PR</v>
      </c>
    </row>
    <row r="133" spans="1:14">
      <c r="A133" t="s">
        <v>465</v>
      </c>
      <c r="B133">
        <v>111060</v>
      </c>
      <c r="C133">
        <v>24142171</v>
      </c>
      <c r="D133" t="s">
        <v>466</v>
      </c>
      <c r="E133" t="s">
        <v>13</v>
      </c>
      <c r="F133" t="s">
        <v>27</v>
      </c>
      <c r="G133">
        <v>10</v>
      </c>
      <c r="H133">
        <v>8.25</v>
      </c>
      <c r="I133">
        <v>10</v>
      </c>
      <c r="J133">
        <f>VLOOKUP(C133,exam!$D$29:$V$359,19,0)</f>
        <v>109</v>
      </c>
      <c r="K133">
        <v>10</v>
      </c>
      <c r="L133" s="43">
        <f t="shared" si="10"/>
        <v>74.583333333333343</v>
      </c>
      <c r="M133" s="43">
        <f t="shared" si="11"/>
        <v>74.583333333333343</v>
      </c>
      <c r="N133" t="str">
        <f t="shared" si="9"/>
        <v>PR</v>
      </c>
    </row>
    <row r="134" spans="1:14">
      <c r="A134" t="s">
        <v>473</v>
      </c>
      <c r="B134">
        <v>113483</v>
      </c>
      <c r="C134">
        <v>24176545</v>
      </c>
      <c r="D134" t="s">
        <v>474</v>
      </c>
      <c r="E134" t="s">
        <v>13</v>
      </c>
      <c r="F134" t="s">
        <v>27</v>
      </c>
      <c r="G134">
        <v>9</v>
      </c>
      <c r="H134">
        <v>8.5</v>
      </c>
      <c r="I134">
        <v>10</v>
      </c>
      <c r="J134">
        <f>VLOOKUP(C134,exam!$D$29:$V$359,19,0)</f>
        <v>111</v>
      </c>
      <c r="K134">
        <v>10</v>
      </c>
      <c r="L134" s="43">
        <f t="shared" si="10"/>
        <v>74.5</v>
      </c>
      <c r="M134" s="43">
        <f t="shared" si="11"/>
        <v>74.5</v>
      </c>
      <c r="N134" t="str">
        <f t="shared" si="9"/>
        <v>PR</v>
      </c>
    </row>
    <row r="135" spans="1:14">
      <c r="A135" t="s">
        <v>491</v>
      </c>
      <c r="B135">
        <v>109738</v>
      </c>
      <c r="C135">
        <v>24118065</v>
      </c>
      <c r="D135" t="s">
        <v>492</v>
      </c>
      <c r="E135" t="s">
        <v>13</v>
      </c>
      <c r="F135" t="s">
        <v>27</v>
      </c>
      <c r="G135">
        <v>8.5</v>
      </c>
      <c r="H135">
        <v>9.5</v>
      </c>
      <c r="I135">
        <v>10</v>
      </c>
      <c r="J135">
        <f>VLOOKUP(C135,exam!$D$29:$V$359,19,0)</f>
        <v>81</v>
      </c>
      <c r="K135">
        <v>10</v>
      </c>
      <c r="L135" s="43">
        <f t="shared" si="10"/>
        <v>65</v>
      </c>
      <c r="M135" s="43">
        <f t="shared" si="11"/>
        <v>65</v>
      </c>
      <c r="N135" t="str">
        <f t="shared" si="9"/>
        <v>P</v>
      </c>
    </row>
    <row r="136" spans="1:14">
      <c r="A136" t="s">
        <v>493</v>
      </c>
      <c r="B136">
        <v>109902</v>
      </c>
      <c r="C136">
        <v>24122026</v>
      </c>
      <c r="D136" t="s">
        <v>494</v>
      </c>
      <c r="E136" t="s">
        <v>13</v>
      </c>
      <c r="F136" t="s">
        <v>27</v>
      </c>
      <c r="G136">
        <v>8.75</v>
      </c>
      <c r="H136">
        <v>6</v>
      </c>
      <c r="I136">
        <v>8.5</v>
      </c>
      <c r="J136">
        <f>VLOOKUP(C136,exam!$D$29:$V$359,19,0)</f>
        <v>141.5</v>
      </c>
      <c r="K136">
        <v>10</v>
      </c>
      <c r="L136" s="43">
        <f t="shared" si="10"/>
        <v>80.416666666666657</v>
      </c>
      <c r="M136" s="43">
        <f t="shared" si="11"/>
        <v>80.416666666666657</v>
      </c>
      <c r="N136" t="str">
        <f t="shared" si="9"/>
        <v>PR</v>
      </c>
    </row>
    <row r="137" spans="1:14">
      <c r="A137" t="s">
        <v>505</v>
      </c>
      <c r="B137">
        <v>109723</v>
      </c>
      <c r="C137">
        <v>24119510</v>
      </c>
      <c r="D137" t="s">
        <v>506</v>
      </c>
      <c r="E137" t="s">
        <v>13</v>
      </c>
      <c r="F137" t="s">
        <v>27</v>
      </c>
      <c r="G137">
        <v>9</v>
      </c>
      <c r="H137">
        <v>9</v>
      </c>
      <c r="I137">
        <v>10</v>
      </c>
      <c r="J137">
        <f>VLOOKUP(C137,exam!$D$29:$V$359,19,0)</f>
        <v>129.5</v>
      </c>
      <c r="K137">
        <v>10</v>
      </c>
      <c r="L137" s="43">
        <f t="shared" si="10"/>
        <v>81.166666666666657</v>
      </c>
      <c r="M137" s="43">
        <f t="shared" si="11"/>
        <v>81.166666666666657</v>
      </c>
      <c r="N137" t="str">
        <f t="shared" si="9"/>
        <v>PR</v>
      </c>
    </row>
    <row r="138" spans="1:14">
      <c r="A138" t="s">
        <v>519</v>
      </c>
      <c r="B138">
        <v>103766</v>
      </c>
      <c r="C138">
        <v>24036244</v>
      </c>
      <c r="D138" t="s">
        <v>520</v>
      </c>
      <c r="E138" t="s">
        <v>13</v>
      </c>
      <c r="F138" t="s">
        <v>27</v>
      </c>
      <c r="G138">
        <v>10</v>
      </c>
      <c r="H138">
        <v>9.5</v>
      </c>
      <c r="I138">
        <v>10</v>
      </c>
      <c r="J138">
        <f>VLOOKUP(C138,exam!$D$29:$V$359,19,0)</f>
        <v>156</v>
      </c>
      <c r="K138">
        <v>10</v>
      </c>
      <c r="L138" s="43">
        <f t="shared" si="10"/>
        <v>91.5</v>
      </c>
      <c r="M138" s="43">
        <f t="shared" si="11"/>
        <v>91.5</v>
      </c>
      <c r="N138" t="str">
        <f t="shared" si="9"/>
        <v>HH</v>
      </c>
    </row>
    <row r="139" spans="1:14">
      <c r="A139" t="s">
        <v>549</v>
      </c>
      <c r="B139">
        <v>104093</v>
      </c>
      <c r="C139">
        <v>24035802</v>
      </c>
      <c r="D139" t="s">
        <v>550</v>
      </c>
      <c r="E139" t="s">
        <v>13</v>
      </c>
      <c r="F139" t="s">
        <v>27</v>
      </c>
      <c r="G139">
        <v>9</v>
      </c>
      <c r="H139">
        <v>7.5</v>
      </c>
      <c r="I139">
        <v>10</v>
      </c>
      <c r="J139">
        <f>VLOOKUP(C139,exam!$D$29:$V$359,19,0)</f>
        <v>162</v>
      </c>
      <c r="K139">
        <v>10</v>
      </c>
      <c r="L139" s="43">
        <f t="shared" si="10"/>
        <v>90.5</v>
      </c>
      <c r="M139" s="43">
        <f t="shared" si="11"/>
        <v>90.5</v>
      </c>
      <c r="N139" t="str">
        <f t="shared" si="9"/>
        <v>H</v>
      </c>
    </row>
    <row r="140" spans="1:14">
      <c r="A140" t="s">
        <v>551</v>
      </c>
      <c r="B140">
        <v>111760</v>
      </c>
      <c r="C140">
        <v>24151266</v>
      </c>
      <c r="D140" t="s">
        <v>552</v>
      </c>
      <c r="E140" t="s">
        <v>13</v>
      </c>
      <c r="F140" t="s">
        <v>27</v>
      </c>
      <c r="G140">
        <v>8.75</v>
      </c>
      <c r="H140">
        <v>9.5</v>
      </c>
      <c r="I140">
        <v>10</v>
      </c>
      <c r="J140">
        <f>VLOOKUP(C140,exam!$D$29:$V$359,19,0)</f>
        <v>153</v>
      </c>
      <c r="K140">
        <v>10</v>
      </c>
      <c r="L140" s="43">
        <f t="shared" si="10"/>
        <v>89.25</v>
      </c>
      <c r="M140" s="43">
        <f t="shared" si="11"/>
        <v>89.25</v>
      </c>
      <c r="N140" t="str">
        <f t="shared" si="9"/>
        <v>H</v>
      </c>
    </row>
    <row r="141" spans="1:14">
      <c r="A141" t="s">
        <v>557</v>
      </c>
      <c r="B141">
        <v>109967</v>
      </c>
      <c r="C141">
        <v>24122570</v>
      </c>
      <c r="D141" t="s">
        <v>558</v>
      </c>
      <c r="E141" t="s">
        <v>13</v>
      </c>
      <c r="F141" t="s">
        <v>27</v>
      </c>
      <c r="G141">
        <v>9</v>
      </c>
      <c r="H141">
        <v>6.25</v>
      </c>
      <c r="I141">
        <v>10</v>
      </c>
      <c r="J141">
        <f>VLOOKUP(C141,exam!$D$29:$V$359,19,0)</f>
        <v>165.5</v>
      </c>
      <c r="K141">
        <v>10</v>
      </c>
      <c r="L141" s="43">
        <f t="shared" si="10"/>
        <v>90.416666666666657</v>
      </c>
      <c r="M141" s="43">
        <f t="shared" si="11"/>
        <v>90.416666666666657</v>
      </c>
      <c r="N141" t="str">
        <f t="shared" si="9"/>
        <v>H</v>
      </c>
    </row>
    <row r="142" spans="1:14">
      <c r="A142" t="s">
        <v>565</v>
      </c>
      <c r="B142">
        <v>108194</v>
      </c>
      <c r="C142">
        <v>24094588</v>
      </c>
      <c r="D142" t="s">
        <v>566</v>
      </c>
      <c r="E142" t="s">
        <v>13</v>
      </c>
      <c r="F142" t="s">
        <v>27</v>
      </c>
      <c r="G142">
        <v>7.5</v>
      </c>
      <c r="H142">
        <v>8.5</v>
      </c>
      <c r="I142">
        <v>10</v>
      </c>
      <c r="J142">
        <f>VLOOKUP(C142,exam!$D$29:$V$359,19,0)</f>
        <v>130</v>
      </c>
      <c r="K142">
        <v>10</v>
      </c>
      <c r="L142" s="43">
        <f t="shared" si="10"/>
        <v>79.333333333333343</v>
      </c>
      <c r="M142" s="43">
        <f t="shared" si="11"/>
        <v>79.333333333333343</v>
      </c>
      <c r="N142" t="str">
        <f t="shared" si="9"/>
        <v>PR</v>
      </c>
    </row>
    <row r="143" spans="1:14">
      <c r="A143" t="s">
        <v>567</v>
      </c>
      <c r="B143">
        <v>112576</v>
      </c>
      <c r="C143">
        <v>24165206</v>
      </c>
      <c r="D143" t="s">
        <v>568</v>
      </c>
      <c r="E143" t="s">
        <v>13</v>
      </c>
      <c r="F143" t="s">
        <v>27</v>
      </c>
      <c r="G143">
        <v>6</v>
      </c>
      <c r="H143">
        <v>8.75</v>
      </c>
      <c r="I143">
        <v>9.5</v>
      </c>
      <c r="J143">
        <f>VLOOKUP(C143,exam!$D$29:$V$359,19,0)</f>
        <v>127</v>
      </c>
      <c r="K143">
        <v>10</v>
      </c>
      <c r="L143" s="43">
        <f t="shared" si="10"/>
        <v>76.583333333333343</v>
      </c>
      <c r="M143" s="43">
        <f t="shared" si="11"/>
        <v>76.583333333333343</v>
      </c>
      <c r="N143" t="str">
        <f t="shared" si="9"/>
        <v>PR</v>
      </c>
    </row>
    <row r="144" spans="1:14">
      <c r="A144" t="s">
        <v>573</v>
      </c>
      <c r="B144">
        <v>109647</v>
      </c>
      <c r="C144">
        <v>24119918</v>
      </c>
      <c r="D144" t="s">
        <v>574</v>
      </c>
      <c r="E144" t="s">
        <v>13</v>
      </c>
      <c r="F144" t="s">
        <v>27</v>
      </c>
      <c r="G144">
        <v>10</v>
      </c>
      <c r="H144">
        <v>9.75</v>
      </c>
      <c r="I144">
        <v>10</v>
      </c>
      <c r="J144">
        <f>VLOOKUP(C144,exam!$D$29:$V$359,19,0)</f>
        <v>165</v>
      </c>
      <c r="K144">
        <v>10</v>
      </c>
      <c r="L144" s="43">
        <f t="shared" si="10"/>
        <v>94.75</v>
      </c>
      <c r="M144" s="43">
        <f t="shared" si="11"/>
        <v>94.75</v>
      </c>
      <c r="N144" t="str">
        <f t="shared" si="9"/>
        <v>HH</v>
      </c>
    </row>
    <row r="145" spans="1:14">
      <c r="A145" t="s">
        <v>575</v>
      </c>
      <c r="B145">
        <v>104204</v>
      </c>
      <c r="C145">
        <v>24037638</v>
      </c>
      <c r="D145" t="s">
        <v>576</v>
      </c>
      <c r="E145" t="s">
        <v>13</v>
      </c>
      <c r="F145" t="s">
        <v>27</v>
      </c>
      <c r="G145">
        <v>8.75</v>
      </c>
      <c r="H145">
        <v>9.5</v>
      </c>
      <c r="I145">
        <v>10</v>
      </c>
      <c r="J145">
        <f>VLOOKUP(C145,exam!$D$29:$V$359,19,0)</f>
        <v>135.5</v>
      </c>
      <c r="K145">
        <v>10</v>
      </c>
      <c r="L145" s="43">
        <f t="shared" si="10"/>
        <v>83.416666666666657</v>
      </c>
      <c r="M145" s="43">
        <f t="shared" si="11"/>
        <v>83.416666666666657</v>
      </c>
      <c r="N145" t="str">
        <f t="shared" si="9"/>
        <v>PR</v>
      </c>
    </row>
    <row r="146" spans="1:14">
      <c r="A146" t="s">
        <v>589</v>
      </c>
      <c r="B146">
        <v>112374</v>
      </c>
      <c r="C146">
        <v>24161177</v>
      </c>
      <c r="D146" t="s">
        <v>590</v>
      </c>
      <c r="E146" t="s">
        <v>13</v>
      </c>
      <c r="F146" t="s">
        <v>27</v>
      </c>
      <c r="G146">
        <v>8.5</v>
      </c>
      <c r="H146">
        <v>8.5</v>
      </c>
      <c r="I146">
        <v>10</v>
      </c>
      <c r="J146">
        <f>VLOOKUP(C146,exam!$D$29:$V$359,19,0)</f>
        <v>146.5</v>
      </c>
      <c r="K146">
        <v>10</v>
      </c>
      <c r="L146" s="43">
        <f t="shared" si="10"/>
        <v>85.833333333333343</v>
      </c>
      <c r="M146" s="43">
        <f t="shared" si="11"/>
        <v>85.833333333333343</v>
      </c>
      <c r="N146" t="str">
        <f t="shared" si="9"/>
        <v>H</v>
      </c>
    </row>
    <row r="147" spans="1:14">
      <c r="A147" t="s">
        <v>597</v>
      </c>
      <c r="B147">
        <v>85672</v>
      </c>
      <c r="C147">
        <v>17513978</v>
      </c>
      <c r="D147" t="s">
        <v>598</v>
      </c>
      <c r="E147" t="s">
        <v>13</v>
      </c>
      <c r="F147" t="s">
        <v>27</v>
      </c>
      <c r="G147">
        <v>5.5</v>
      </c>
      <c r="H147">
        <v>9.5</v>
      </c>
      <c r="I147">
        <v>9.8000000000000007</v>
      </c>
      <c r="J147">
        <f>VLOOKUP(C147,exam!$D$29:$V$359,19,0)</f>
        <v>104</v>
      </c>
      <c r="K147">
        <v>10</v>
      </c>
      <c r="L147" s="43">
        <f t="shared" si="10"/>
        <v>69.466666666666669</v>
      </c>
      <c r="M147" s="43">
        <f t="shared" si="11"/>
        <v>69.466666666666669</v>
      </c>
      <c r="N147" t="str">
        <f t="shared" si="9"/>
        <v>PR</v>
      </c>
    </row>
    <row r="148" spans="1:14">
      <c r="A148" t="s">
        <v>603</v>
      </c>
      <c r="B148">
        <v>109752</v>
      </c>
      <c r="C148">
        <v>24119816</v>
      </c>
      <c r="D148" t="s">
        <v>604</v>
      </c>
      <c r="E148" t="s">
        <v>13</v>
      </c>
      <c r="F148" t="s">
        <v>27</v>
      </c>
      <c r="G148">
        <v>9</v>
      </c>
      <c r="H148">
        <v>9.5</v>
      </c>
      <c r="I148">
        <v>10</v>
      </c>
      <c r="J148">
        <f>VLOOKUP(C148,exam!$D$29:$V$359,19,0)</f>
        <v>171</v>
      </c>
      <c r="K148">
        <v>10</v>
      </c>
      <c r="L148" s="43">
        <f t="shared" si="10"/>
        <v>95.5</v>
      </c>
      <c r="M148" s="43">
        <f t="shared" si="11"/>
        <v>95.5</v>
      </c>
      <c r="N148" t="str">
        <f t="shared" si="9"/>
        <v>HH</v>
      </c>
    </row>
    <row r="149" spans="1:14">
      <c r="A149" t="s">
        <v>605</v>
      </c>
      <c r="B149">
        <v>16906</v>
      </c>
      <c r="C149">
        <v>13144524</v>
      </c>
      <c r="D149" t="s">
        <v>606</v>
      </c>
      <c r="E149" t="s">
        <v>13</v>
      </c>
      <c r="F149" t="s">
        <v>27</v>
      </c>
      <c r="G149">
        <v>9</v>
      </c>
      <c r="H149">
        <v>9.25</v>
      </c>
      <c r="I149">
        <v>9</v>
      </c>
      <c r="J149">
        <f>VLOOKUP(C149,exam!$D$29:$V$359,19,0)</f>
        <v>142.5</v>
      </c>
      <c r="K149">
        <v>10</v>
      </c>
      <c r="L149" s="43">
        <f t="shared" si="10"/>
        <v>84.75</v>
      </c>
      <c r="M149" s="43">
        <f t="shared" si="11"/>
        <v>84.75</v>
      </c>
      <c r="N149" t="str">
        <f t="shared" si="9"/>
        <v>PR</v>
      </c>
    </row>
    <row r="150" spans="1:14">
      <c r="A150" t="s">
        <v>611</v>
      </c>
      <c r="B150">
        <v>109626</v>
      </c>
      <c r="C150">
        <v>24117980</v>
      </c>
      <c r="D150" t="s">
        <v>612</v>
      </c>
      <c r="E150" t="s">
        <v>13</v>
      </c>
      <c r="F150" t="s">
        <v>27</v>
      </c>
      <c r="G150">
        <v>10</v>
      </c>
      <c r="H150">
        <v>9.5500000000000007</v>
      </c>
      <c r="I150">
        <v>10</v>
      </c>
      <c r="J150">
        <f>VLOOKUP(C150,exam!$D$29:$V$359,19,0)</f>
        <v>107</v>
      </c>
      <c r="K150">
        <v>10</v>
      </c>
      <c r="L150" s="43">
        <f t="shared" si="10"/>
        <v>75.216666666666669</v>
      </c>
      <c r="M150" s="43">
        <f t="shared" si="11"/>
        <v>75.216666666666669</v>
      </c>
      <c r="N150" t="str">
        <f t="shared" si="9"/>
        <v>PR</v>
      </c>
    </row>
    <row r="151" spans="1:14">
      <c r="A151" t="s">
        <v>615</v>
      </c>
      <c r="B151">
        <v>104616</v>
      </c>
      <c r="C151">
        <v>24012121</v>
      </c>
      <c r="D151" t="s">
        <v>616</v>
      </c>
      <c r="E151" t="s">
        <v>13</v>
      </c>
      <c r="F151" t="s">
        <v>27</v>
      </c>
      <c r="G151">
        <v>9</v>
      </c>
      <c r="H151">
        <v>8.5</v>
      </c>
      <c r="I151">
        <v>10</v>
      </c>
      <c r="J151">
        <f>VLOOKUP(C151,exam!$D$29:$V$359,19,0)</f>
        <v>137.5</v>
      </c>
      <c r="K151">
        <v>10</v>
      </c>
      <c r="L151" s="43">
        <f t="shared" si="10"/>
        <v>83.333333333333343</v>
      </c>
      <c r="M151" s="43">
        <f t="shared" si="11"/>
        <v>83.333333333333343</v>
      </c>
      <c r="N151" t="str">
        <f t="shared" si="9"/>
        <v>PR</v>
      </c>
    </row>
    <row r="152" spans="1:14">
      <c r="A152" t="s">
        <v>617</v>
      </c>
      <c r="B152">
        <v>108746</v>
      </c>
      <c r="C152">
        <v>24103139</v>
      </c>
      <c r="D152" t="s">
        <v>618</v>
      </c>
      <c r="E152" t="s">
        <v>13</v>
      </c>
      <c r="F152" t="s">
        <v>27</v>
      </c>
      <c r="G152">
        <v>8.75</v>
      </c>
      <c r="H152">
        <v>9.5</v>
      </c>
      <c r="I152">
        <v>10</v>
      </c>
      <c r="J152">
        <f>VLOOKUP(C152,exam!$D$29:$V$359,19,0)</f>
        <v>159</v>
      </c>
      <c r="K152">
        <v>10</v>
      </c>
      <c r="L152" s="43">
        <f t="shared" si="10"/>
        <v>91.25</v>
      </c>
      <c r="M152" s="43">
        <f t="shared" si="11"/>
        <v>91.25</v>
      </c>
      <c r="N152" t="str">
        <f t="shared" si="9"/>
        <v>H</v>
      </c>
    </row>
    <row r="153" spans="1:14">
      <c r="A153" t="s">
        <v>625</v>
      </c>
      <c r="B153">
        <v>109735</v>
      </c>
      <c r="C153">
        <v>24119833</v>
      </c>
      <c r="D153" t="s">
        <v>626</v>
      </c>
      <c r="E153" t="s">
        <v>13</v>
      </c>
      <c r="F153" t="s">
        <v>27</v>
      </c>
      <c r="G153">
        <v>9</v>
      </c>
      <c r="H153">
        <v>9.25</v>
      </c>
      <c r="I153">
        <v>10</v>
      </c>
      <c r="J153">
        <f>VLOOKUP(C153,exam!$D$29:$V$359,19,0)</f>
        <v>114</v>
      </c>
      <c r="K153">
        <v>10</v>
      </c>
      <c r="L153" s="43">
        <f t="shared" si="10"/>
        <v>76.25</v>
      </c>
      <c r="M153" s="43">
        <f t="shared" si="11"/>
        <v>76.25</v>
      </c>
      <c r="N153" t="str">
        <f t="shared" si="9"/>
        <v>PR</v>
      </c>
    </row>
    <row r="154" spans="1:14">
      <c r="A154" t="s">
        <v>631</v>
      </c>
      <c r="B154">
        <v>104627</v>
      </c>
      <c r="C154">
        <v>24036040</v>
      </c>
      <c r="D154" t="s">
        <v>632</v>
      </c>
      <c r="E154" t="s">
        <v>13</v>
      </c>
      <c r="F154" t="s">
        <v>27</v>
      </c>
      <c r="G154">
        <v>10</v>
      </c>
      <c r="H154">
        <v>9.5</v>
      </c>
      <c r="I154">
        <v>10</v>
      </c>
      <c r="J154">
        <f>VLOOKUP(C154,exam!$D$29:$V$359,19,0)</f>
        <v>124</v>
      </c>
      <c r="K154">
        <v>10</v>
      </c>
      <c r="L154" s="43">
        <f t="shared" si="10"/>
        <v>80.833333333333343</v>
      </c>
      <c r="M154" s="43">
        <f t="shared" si="11"/>
        <v>80.833333333333343</v>
      </c>
      <c r="N154" t="str">
        <f t="shared" si="9"/>
        <v>PR</v>
      </c>
    </row>
    <row r="155" spans="1:14">
      <c r="A155" t="s">
        <v>647</v>
      </c>
      <c r="B155">
        <v>107607</v>
      </c>
      <c r="C155">
        <v>24086377</v>
      </c>
      <c r="D155" t="s">
        <v>648</v>
      </c>
      <c r="E155" t="s">
        <v>13</v>
      </c>
      <c r="F155" t="s">
        <v>27</v>
      </c>
      <c r="G155">
        <v>7.5</v>
      </c>
      <c r="H155">
        <v>9.5</v>
      </c>
      <c r="I155">
        <v>9.5</v>
      </c>
      <c r="J155">
        <f>VLOOKUP(C155,exam!$D$29:$V$359,19,0)</f>
        <v>91.5</v>
      </c>
      <c r="K155">
        <v>10</v>
      </c>
      <c r="L155" s="43">
        <f t="shared" si="10"/>
        <v>67</v>
      </c>
      <c r="M155" s="43">
        <f t="shared" si="11"/>
        <v>67</v>
      </c>
      <c r="N155" t="str">
        <f t="shared" si="9"/>
        <v>P</v>
      </c>
    </row>
    <row r="156" spans="1:14">
      <c r="A156" t="s">
        <v>653</v>
      </c>
      <c r="B156">
        <v>110765</v>
      </c>
      <c r="C156">
        <v>24135949</v>
      </c>
      <c r="D156" t="s">
        <v>654</v>
      </c>
      <c r="E156" t="s">
        <v>13</v>
      </c>
      <c r="F156" t="s">
        <v>27</v>
      </c>
      <c r="G156">
        <v>8</v>
      </c>
      <c r="H156">
        <v>7.25</v>
      </c>
      <c r="I156">
        <v>10</v>
      </c>
      <c r="J156">
        <f>VLOOKUP(C156,exam!$D$29:$V$359,19,0)</f>
        <v>122.5</v>
      </c>
      <c r="K156">
        <v>10</v>
      </c>
      <c r="L156" s="43">
        <f t="shared" si="10"/>
        <v>76.083333333333343</v>
      </c>
      <c r="M156" s="43">
        <f t="shared" si="11"/>
        <v>76.083333333333343</v>
      </c>
      <c r="N156" t="str">
        <f t="shared" si="9"/>
        <v>PR</v>
      </c>
    </row>
    <row r="157" spans="1:14">
      <c r="A157" t="s">
        <v>659</v>
      </c>
      <c r="B157">
        <v>103075</v>
      </c>
      <c r="C157">
        <v>24037672</v>
      </c>
      <c r="D157" t="s">
        <v>660</v>
      </c>
      <c r="E157" t="s">
        <v>13</v>
      </c>
      <c r="F157" t="s">
        <v>27</v>
      </c>
      <c r="G157">
        <v>10</v>
      </c>
      <c r="H157">
        <v>9.75</v>
      </c>
      <c r="I157">
        <v>9.5</v>
      </c>
      <c r="J157">
        <f>VLOOKUP(C157,exam!$D$29:$V$359,19,0)</f>
        <v>167</v>
      </c>
      <c r="K157">
        <v>10</v>
      </c>
      <c r="L157" s="43">
        <f t="shared" si="10"/>
        <v>94.916666666666657</v>
      </c>
      <c r="M157" s="43">
        <f t="shared" si="11"/>
        <v>94.916666666666657</v>
      </c>
      <c r="N157" t="str">
        <f t="shared" si="9"/>
        <v>HH</v>
      </c>
    </row>
    <row r="158" spans="1:14">
      <c r="A158" t="s">
        <v>697</v>
      </c>
      <c r="B158">
        <v>112442</v>
      </c>
      <c r="C158">
        <v>24162962</v>
      </c>
      <c r="D158" t="s">
        <v>698</v>
      </c>
      <c r="E158" t="s">
        <v>13</v>
      </c>
      <c r="F158" t="s">
        <v>27</v>
      </c>
      <c r="G158">
        <v>9</v>
      </c>
      <c r="H158">
        <v>9</v>
      </c>
      <c r="I158">
        <v>9.5</v>
      </c>
      <c r="J158">
        <f>VLOOKUP(C158,exam!$D$29:$V$359,19,0)</f>
        <v>95.5</v>
      </c>
      <c r="K158">
        <v>10</v>
      </c>
      <c r="L158" s="43">
        <f t="shared" si="10"/>
        <v>69.333333333333329</v>
      </c>
      <c r="M158" s="43">
        <f t="shared" si="11"/>
        <v>69.333333333333329</v>
      </c>
      <c r="N158" t="str">
        <f t="shared" si="9"/>
        <v>PR</v>
      </c>
    </row>
    <row r="159" spans="1:14">
      <c r="A159" t="s">
        <v>699</v>
      </c>
      <c r="B159">
        <v>103242</v>
      </c>
      <c r="C159">
        <v>24036482</v>
      </c>
      <c r="D159" t="s">
        <v>700</v>
      </c>
      <c r="E159" t="s">
        <v>13</v>
      </c>
      <c r="F159" t="s">
        <v>27</v>
      </c>
      <c r="G159">
        <v>10</v>
      </c>
      <c r="H159">
        <v>9.75</v>
      </c>
      <c r="I159">
        <v>10</v>
      </c>
      <c r="J159">
        <f>VLOOKUP(C159,exam!$D$29:$V$359,19,0)</f>
        <v>147.5</v>
      </c>
      <c r="K159">
        <v>10</v>
      </c>
      <c r="L159" s="43">
        <f t="shared" si="10"/>
        <v>88.916666666666657</v>
      </c>
      <c r="M159" s="43">
        <f t="shared" si="11"/>
        <v>88.916666666666657</v>
      </c>
      <c r="N159" t="str">
        <f t="shared" si="9"/>
        <v>H</v>
      </c>
    </row>
    <row r="160" spans="1:14">
      <c r="A160" t="s">
        <v>713</v>
      </c>
      <c r="B160">
        <v>112348</v>
      </c>
      <c r="C160">
        <v>24161160</v>
      </c>
      <c r="D160" t="s">
        <v>714</v>
      </c>
      <c r="E160" t="s">
        <v>13</v>
      </c>
      <c r="F160" t="s">
        <v>27</v>
      </c>
      <c r="G160">
        <v>9</v>
      </c>
      <c r="H160">
        <v>9.5</v>
      </c>
      <c r="I160">
        <v>10</v>
      </c>
      <c r="J160">
        <f>VLOOKUP(C160,exam!$D$29:$V$359,19,0)</f>
        <v>108.5</v>
      </c>
      <c r="K160">
        <v>10</v>
      </c>
      <c r="L160" s="43">
        <f t="shared" si="10"/>
        <v>74.666666666666657</v>
      </c>
      <c r="M160" s="43">
        <f t="shared" si="11"/>
        <v>74.666666666666657</v>
      </c>
      <c r="N160" t="str">
        <f t="shared" ref="N160:N191" si="12">IF(M160="","",IF(M160&gt;=$Q$3,$P$3,IF(M160&gt;=$Q$4,$P$4,IF(M160&gt;=$Q$5,$P$5,"P"))))</f>
        <v>PR</v>
      </c>
    </row>
    <row r="161" spans="1:14">
      <c r="A161" t="s">
        <v>715</v>
      </c>
      <c r="B161">
        <v>107374</v>
      </c>
      <c r="C161">
        <v>24082484</v>
      </c>
      <c r="D161" t="s">
        <v>716</v>
      </c>
      <c r="E161" t="s">
        <v>13</v>
      </c>
      <c r="F161" t="s">
        <v>27</v>
      </c>
      <c r="G161">
        <v>9</v>
      </c>
      <c r="H161">
        <v>9.75</v>
      </c>
      <c r="I161">
        <v>10</v>
      </c>
      <c r="J161">
        <f>VLOOKUP(C161,exam!$D$29:$V$359,19,0)</f>
        <v>159.5</v>
      </c>
      <c r="K161">
        <v>10</v>
      </c>
      <c r="L161" s="43">
        <f t="shared" si="10"/>
        <v>91.916666666666657</v>
      </c>
      <c r="M161" s="43">
        <f t="shared" si="11"/>
        <v>91.916666666666657</v>
      </c>
      <c r="N161" t="str">
        <f t="shared" si="12"/>
        <v>HH</v>
      </c>
    </row>
    <row r="162" spans="1:14">
      <c r="A162" t="s">
        <v>719</v>
      </c>
      <c r="B162">
        <v>104366</v>
      </c>
      <c r="C162">
        <v>24037655</v>
      </c>
      <c r="D162" t="s">
        <v>720</v>
      </c>
      <c r="E162" t="s">
        <v>13</v>
      </c>
      <c r="F162" t="s">
        <v>27</v>
      </c>
      <c r="G162">
        <v>10</v>
      </c>
      <c r="H162">
        <v>9.5</v>
      </c>
      <c r="I162">
        <v>10</v>
      </c>
      <c r="J162">
        <f>VLOOKUP(C162,exam!$D$29:$V$359,19,0)</f>
        <v>169</v>
      </c>
      <c r="K162">
        <v>10</v>
      </c>
      <c r="L162" s="43">
        <f t="shared" si="10"/>
        <v>95.833333333333343</v>
      </c>
      <c r="M162" s="43">
        <f t="shared" si="11"/>
        <v>95.833333333333343</v>
      </c>
      <c r="N162" t="str">
        <f t="shared" si="12"/>
        <v>HH</v>
      </c>
    </row>
    <row r="163" spans="1:14">
      <c r="A163" t="s">
        <v>721</v>
      </c>
      <c r="B163">
        <v>113610</v>
      </c>
      <c r="C163">
        <v>24178211</v>
      </c>
      <c r="D163" t="s">
        <v>722</v>
      </c>
      <c r="E163" t="s">
        <v>13</v>
      </c>
      <c r="F163" t="s">
        <v>27</v>
      </c>
      <c r="G163">
        <v>9</v>
      </c>
      <c r="H163">
        <v>9.5</v>
      </c>
      <c r="I163">
        <v>10</v>
      </c>
      <c r="J163">
        <f>VLOOKUP(C163,exam!$D$29:$V$359,19,0)</f>
        <v>86.5</v>
      </c>
      <c r="K163">
        <v>10</v>
      </c>
      <c r="L163" s="43">
        <f t="shared" si="10"/>
        <v>67.333333333333329</v>
      </c>
      <c r="M163" s="43">
        <f t="shared" si="11"/>
        <v>67.333333333333329</v>
      </c>
      <c r="N163" t="str">
        <f t="shared" si="12"/>
        <v>P</v>
      </c>
    </row>
    <row r="164" spans="1:14">
      <c r="A164" t="s">
        <v>38</v>
      </c>
      <c r="B164">
        <v>103925</v>
      </c>
      <c r="C164">
        <v>24036227</v>
      </c>
      <c r="D164" t="s">
        <v>39</v>
      </c>
      <c r="E164" t="s">
        <v>13</v>
      </c>
      <c r="F164" t="s">
        <v>40</v>
      </c>
      <c r="G164">
        <v>9.25</v>
      </c>
      <c r="H164">
        <v>9.5</v>
      </c>
      <c r="I164">
        <v>10</v>
      </c>
      <c r="J164">
        <f>VLOOKUP(C164,exam!$D$29:$V$359,19,0)</f>
        <v>152</v>
      </c>
      <c r="K164">
        <v>10</v>
      </c>
      <c r="L164" s="43">
        <f t="shared" si="10"/>
        <v>89.416666666666657</v>
      </c>
      <c r="M164" s="43">
        <f t="shared" si="11"/>
        <v>89.416666666666657</v>
      </c>
      <c r="N164" t="str">
        <f t="shared" si="12"/>
        <v>H</v>
      </c>
    </row>
    <row r="165" spans="1:14">
      <c r="A165" t="s">
        <v>43</v>
      </c>
      <c r="B165">
        <v>109904</v>
      </c>
      <c r="C165">
        <v>24122961</v>
      </c>
      <c r="D165" t="s">
        <v>44</v>
      </c>
      <c r="E165" t="s">
        <v>13</v>
      </c>
      <c r="F165" t="s">
        <v>40</v>
      </c>
      <c r="G165">
        <v>9</v>
      </c>
      <c r="H165">
        <v>10</v>
      </c>
      <c r="I165">
        <v>5</v>
      </c>
      <c r="J165">
        <f>VLOOKUP(C165,exam!$D$29:$V$359,19,0)</f>
        <v>107.5</v>
      </c>
      <c r="K165">
        <v>10</v>
      </c>
      <c r="L165" s="43">
        <f t="shared" si="10"/>
        <v>69.833333333333343</v>
      </c>
      <c r="M165" s="43">
        <f t="shared" si="11"/>
        <v>69.833333333333343</v>
      </c>
      <c r="N165" t="str">
        <f t="shared" si="12"/>
        <v>PR</v>
      </c>
    </row>
    <row r="166" spans="1:14">
      <c r="A166" t="s">
        <v>49</v>
      </c>
      <c r="B166">
        <v>106391</v>
      </c>
      <c r="C166">
        <v>24065994</v>
      </c>
      <c r="D166" t="s">
        <v>50</v>
      </c>
      <c r="E166" t="s">
        <v>13</v>
      </c>
      <c r="F166" t="s">
        <v>40</v>
      </c>
      <c r="G166">
        <v>8.75</v>
      </c>
      <c r="H166">
        <v>9.75</v>
      </c>
      <c r="I166">
        <v>9.8000000000000007</v>
      </c>
      <c r="J166">
        <f>VLOOKUP(C166,exam!$D$29:$V$359,19,0)</f>
        <v>103</v>
      </c>
      <c r="K166">
        <v>10</v>
      </c>
      <c r="L166" s="43">
        <f t="shared" si="10"/>
        <v>72.633333333333326</v>
      </c>
      <c r="M166" s="43">
        <f t="shared" si="11"/>
        <v>72.633333333333326</v>
      </c>
      <c r="N166" t="str">
        <f t="shared" si="12"/>
        <v>PR</v>
      </c>
    </row>
    <row r="167" spans="1:14">
      <c r="A167" t="s">
        <v>65</v>
      </c>
      <c r="B167">
        <v>111189</v>
      </c>
      <c r="C167">
        <v>24143718</v>
      </c>
      <c r="D167" t="s">
        <v>66</v>
      </c>
      <c r="E167" t="s">
        <v>13</v>
      </c>
      <c r="F167" t="s">
        <v>40</v>
      </c>
      <c r="G167">
        <v>7.5</v>
      </c>
      <c r="H167">
        <v>8.5</v>
      </c>
      <c r="I167">
        <v>9.5</v>
      </c>
      <c r="J167">
        <f>VLOOKUP(C167,exam!$D$29:$V$359,19,0)</f>
        <v>90.5</v>
      </c>
      <c r="K167">
        <v>10</v>
      </c>
      <c r="L167" s="43">
        <f t="shared" si="10"/>
        <v>65.666666666666671</v>
      </c>
      <c r="M167" s="43">
        <f t="shared" si="11"/>
        <v>65.666666666666671</v>
      </c>
      <c r="N167" t="str">
        <f t="shared" si="12"/>
        <v>P</v>
      </c>
    </row>
    <row r="168" spans="1:14">
      <c r="A168" t="s">
        <v>75</v>
      </c>
      <c r="B168">
        <v>104517</v>
      </c>
      <c r="C168">
        <v>24036261</v>
      </c>
      <c r="D168" t="s">
        <v>76</v>
      </c>
      <c r="E168" t="s">
        <v>13</v>
      </c>
      <c r="F168" t="s">
        <v>40</v>
      </c>
      <c r="G168">
        <v>9</v>
      </c>
      <c r="H168">
        <v>8.75</v>
      </c>
      <c r="I168">
        <v>9.5</v>
      </c>
      <c r="J168">
        <f>VLOOKUP(C168,exam!$D$29:$V$359,19,0)</f>
        <v>79</v>
      </c>
      <c r="K168">
        <v>10</v>
      </c>
      <c r="L168" s="43">
        <f t="shared" si="10"/>
        <v>63.583333333333329</v>
      </c>
      <c r="M168" s="43">
        <f t="shared" si="11"/>
        <v>63.583333333333329</v>
      </c>
      <c r="N168" t="str">
        <f t="shared" si="12"/>
        <v>P</v>
      </c>
    </row>
    <row r="169" spans="1:14">
      <c r="A169" t="s">
        <v>139</v>
      </c>
      <c r="B169">
        <v>104254</v>
      </c>
      <c r="C169">
        <v>24036975</v>
      </c>
      <c r="D169" t="s">
        <v>140</v>
      </c>
      <c r="E169" t="s">
        <v>13</v>
      </c>
      <c r="F169" t="s">
        <v>40</v>
      </c>
      <c r="G169">
        <v>8.5</v>
      </c>
      <c r="H169">
        <v>8.5</v>
      </c>
      <c r="I169">
        <v>9.6</v>
      </c>
      <c r="J169">
        <f>VLOOKUP(C169,exam!$D$29:$V$359,19,0)</f>
        <v>133.5</v>
      </c>
      <c r="K169">
        <v>10</v>
      </c>
      <c r="L169" s="43">
        <f t="shared" si="10"/>
        <v>81.099999999999994</v>
      </c>
      <c r="M169" s="43">
        <f t="shared" si="11"/>
        <v>81.099999999999994</v>
      </c>
      <c r="N169" t="str">
        <f t="shared" si="12"/>
        <v>PR</v>
      </c>
    </row>
    <row r="170" spans="1:14">
      <c r="A170" t="s">
        <v>145</v>
      </c>
      <c r="B170">
        <v>112187</v>
      </c>
      <c r="C170">
        <v>24158508</v>
      </c>
      <c r="D170" t="s">
        <v>146</v>
      </c>
      <c r="E170" t="s">
        <v>13</v>
      </c>
      <c r="F170" t="s">
        <v>40</v>
      </c>
      <c r="G170">
        <v>9</v>
      </c>
      <c r="H170">
        <v>8.75</v>
      </c>
      <c r="I170">
        <v>10</v>
      </c>
      <c r="J170">
        <f>VLOOKUP(C170,exam!$D$29:$V$359,19,0)</f>
        <v>132.5</v>
      </c>
      <c r="K170">
        <v>10</v>
      </c>
      <c r="L170" s="43">
        <f t="shared" si="10"/>
        <v>81.916666666666657</v>
      </c>
      <c r="M170" s="43">
        <f t="shared" si="11"/>
        <v>81.916666666666657</v>
      </c>
      <c r="N170" t="str">
        <f t="shared" si="12"/>
        <v>PR</v>
      </c>
    </row>
    <row r="171" spans="1:14">
      <c r="A171" t="s">
        <v>151</v>
      </c>
      <c r="B171">
        <v>109892</v>
      </c>
      <c r="C171">
        <v>24123012</v>
      </c>
      <c r="D171" t="s">
        <v>152</v>
      </c>
      <c r="E171" t="s">
        <v>13</v>
      </c>
      <c r="F171" t="s">
        <v>40</v>
      </c>
      <c r="G171">
        <v>8.5</v>
      </c>
      <c r="H171">
        <v>8.25</v>
      </c>
      <c r="I171">
        <v>9.5</v>
      </c>
      <c r="J171">
        <f>VLOOKUP(C171,exam!$D$29:$V$359,19,0)</f>
        <v>135.5</v>
      </c>
      <c r="K171">
        <v>10</v>
      </c>
      <c r="L171" s="43">
        <f t="shared" si="10"/>
        <v>81.416666666666657</v>
      </c>
      <c r="M171" s="43">
        <f t="shared" si="11"/>
        <v>81.416666666666657</v>
      </c>
      <c r="N171" t="str">
        <f t="shared" si="12"/>
        <v>PR</v>
      </c>
    </row>
    <row r="172" spans="1:14">
      <c r="A172" t="s">
        <v>163</v>
      </c>
      <c r="B172">
        <v>103728</v>
      </c>
      <c r="C172">
        <v>24036890</v>
      </c>
      <c r="D172" t="s">
        <v>164</v>
      </c>
      <c r="E172" t="s">
        <v>13</v>
      </c>
      <c r="F172" t="s">
        <v>40</v>
      </c>
      <c r="G172">
        <v>9</v>
      </c>
      <c r="H172">
        <v>8</v>
      </c>
      <c r="I172">
        <v>9.1</v>
      </c>
      <c r="J172">
        <f>VLOOKUP(C172,exam!$D$29:$V$359,19,0)</f>
        <v>143.5</v>
      </c>
      <c r="K172">
        <v>10</v>
      </c>
      <c r="L172" s="43">
        <f t="shared" si="10"/>
        <v>83.933333333333337</v>
      </c>
      <c r="M172" s="43">
        <f t="shared" si="11"/>
        <v>83.933333333333337</v>
      </c>
      <c r="N172" t="str">
        <f t="shared" si="12"/>
        <v>PR</v>
      </c>
    </row>
    <row r="173" spans="1:14">
      <c r="A173" t="s">
        <v>181</v>
      </c>
      <c r="B173">
        <v>102999</v>
      </c>
      <c r="C173">
        <v>24036193</v>
      </c>
      <c r="D173" t="s">
        <v>182</v>
      </c>
      <c r="E173" t="s">
        <v>13</v>
      </c>
      <c r="F173" t="s">
        <v>40</v>
      </c>
      <c r="G173">
        <v>9</v>
      </c>
      <c r="H173">
        <v>10</v>
      </c>
      <c r="I173">
        <v>9.5</v>
      </c>
      <c r="J173">
        <f>VLOOKUP(C173,exam!$D$29:$V$359,19,0)</f>
        <v>121.5</v>
      </c>
      <c r="K173">
        <v>10</v>
      </c>
      <c r="L173" s="43">
        <f t="shared" si="10"/>
        <v>79</v>
      </c>
      <c r="M173" s="43">
        <f t="shared" si="11"/>
        <v>79</v>
      </c>
      <c r="N173" t="str">
        <f t="shared" si="12"/>
        <v>PR</v>
      </c>
    </row>
    <row r="174" spans="1:14">
      <c r="A174" t="s">
        <v>183</v>
      </c>
      <c r="B174">
        <v>16434</v>
      </c>
      <c r="C174">
        <v>17139179</v>
      </c>
      <c r="D174" t="s">
        <v>184</v>
      </c>
      <c r="E174" t="s">
        <v>13</v>
      </c>
      <c r="F174" t="s">
        <v>40</v>
      </c>
      <c r="G174">
        <v>9.25</v>
      </c>
      <c r="H174">
        <v>10</v>
      </c>
      <c r="I174">
        <v>10</v>
      </c>
      <c r="J174">
        <f>VLOOKUP(C174,exam!$D$29:$V$359,19,0)</f>
        <v>103.5</v>
      </c>
      <c r="K174">
        <v>10</v>
      </c>
      <c r="L174" s="43">
        <f t="shared" si="10"/>
        <v>73.75</v>
      </c>
      <c r="M174" s="43">
        <f t="shared" si="11"/>
        <v>73.75</v>
      </c>
      <c r="N174" t="str">
        <f t="shared" si="12"/>
        <v>PR</v>
      </c>
    </row>
    <row r="175" spans="1:14">
      <c r="A175" t="s">
        <v>191</v>
      </c>
      <c r="B175">
        <v>111049</v>
      </c>
      <c r="C175">
        <v>24142137</v>
      </c>
      <c r="D175" t="s">
        <v>192</v>
      </c>
      <c r="E175" t="s">
        <v>13</v>
      </c>
      <c r="F175" t="s">
        <v>40</v>
      </c>
      <c r="G175">
        <v>8.75</v>
      </c>
      <c r="H175">
        <v>10</v>
      </c>
      <c r="I175">
        <v>10</v>
      </c>
      <c r="J175">
        <f>VLOOKUP(C175,exam!$D$29:$V$359,19,0)</f>
        <v>154.5</v>
      </c>
      <c r="K175">
        <v>10</v>
      </c>
      <c r="L175" s="43">
        <f t="shared" si="10"/>
        <v>90.25</v>
      </c>
      <c r="M175" s="43">
        <f t="shared" si="11"/>
        <v>90.25</v>
      </c>
      <c r="N175" t="str">
        <f t="shared" si="12"/>
        <v>H</v>
      </c>
    </row>
    <row r="176" spans="1:14">
      <c r="A176" t="s">
        <v>197</v>
      </c>
      <c r="B176">
        <v>107176</v>
      </c>
      <c r="C176">
        <v>24080002</v>
      </c>
      <c r="D176" t="s">
        <v>198</v>
      </c>
      <c r="E176" t="s">
        <v>13</v>
      </c>
      <c r="F176" t="s">
        <v>40</v>
      </c>
      <c r="G176">
        <v>6.25</v>
      </c>
      <c r="H176">
        <v>9</v>
      </c>
      <c r="I176">
        <v>10</v>
      </c>
      <c r="J176">
        <f>VLOOKUP(C176,exam!$D$29:$V$359,19,0)</f>
        <v>96.5</v>
      </c>
      <c r="K176">
        <v>10</v>
      </c>
      <c r="L176" s="43">
        <f t="shared" si="10"/>
        <v>67.416666666666657</v>
      </c>
      <c r="M176" s="43">
        <f t="shared" si="11"/>
        <v>67.416666666666657</v>
      </c>
      <c r="N176" t="str">
        <f t="shared" si="12"/>
        <v>P</v>
      </c>
    </row>
    <row r="177" spans="1:14">
      <c r="A177" t="s">
        <v>225</v>
      </c>
      <c r="B177">
        <v>107237</v>
      </c>
      <c r="C177">
        <v>24080121</v>
      </c>
      <c r="D177" t="s">
        <v>226</v>
      </c>
      <c r="E177" t="s">
        <v>13</v>
      </c>
      <c r="F177" t="s">
        <v>40</v>
      </c>
      <c r="G177">
        <v>10</v>
      </c>
      <c r="H177">
        <v>8.25</v>
      </c>
      <c r="I177">
        <v>9</v>
      </c>
      <c r="J177">
        <f>VLOOKUP(C177,exam!$D$29:$V$359,19,0)</f>
        <v>139.5</v>
      </c>
      <c r="K177">
        <v>10</v>
      </c>
      <c r="L177" s="43">
        <f t="shared" si="10"/>
        <v>83.75</v>
      </c>
      <c r="M177" s="43">
        <f t="shared" si="11"/>
        <v>83.75</v>
      </c>
      <c r="N177" t="str">
        <f t="shared" si="12"/>
        <v>PR</v>
      </c>
    </row>
    <row r="178" spans="1:14">
      <c r="A178" t="s">
        <v>229</v>
      </c>
      <c r="B178">
        <v>106578</v>
      </c>
      <c r="C178">
        <v>24068323</v>
      </c>
      <c r="D178" t="s">
        <v>230</v>
      </c>
      <c r="E178" t="s">
        <v>13</v>
      </c>
      <c r="F178" t="s">
        <v>40</v>
      </c>
      <c r="G178">
        <v>8.75</v>
      </c>
      <c r="H178">
        <v>10</v>
      </c>
      <c r="I178">
        <v>9.6</v>
      </c>
      <c r="J178">
        <f>VLOOKUP(C178,exam!$D$29:$V$359,19,0)</f>
        <v>145</v>
      </c>
      <c r="K178">
        <v>10</v>
      </c>
      <c r="L178" s="43">
        <f t="shared" si="10"/>
        <v>86.683333333333337</v>
      </c>
      <c r="M178" s="43">
        <f t="shared" si="11"/>
        <v>86.683333333333337</v>
      </c>
      <c r="N178" t="str">
        <f t="shared" si="12"/>
        <v>H</v>
      </c>
    </row>
    <row r="179" spans="1:14">
      <c r="A179" t="s">
        <v>231</v>
      </c>
      <c r="B179">
        <v>109949</v>
      </c>
      <c r="C179">
        <v>24122757</v>
      </c>
      <c r="D179" t="s">
        <v>232</v>
      </c>
      <c r="E179" t="s">
        <v>13</v>
      </c>
      <c r="F179" t="s">
        <v>40</v>
      </c>
      <c r="G179">
        <v>7.75</v>
      </c>
      <c r="H179">
        <v>9</v>
      </c>
      <c r="I179">
        <v>10</v>
      </c>
      <c r="J179">
        <f>VLOOKUP(C179,exam!$D$29:$V$359,19,0)</f>
        <v>124.5</v>
      </c>
      <c r="K179">
        <v>10</v>
      </c>
      <c r="L179" s="43">
        <f t="shared" si="10"/>
        <v>78.25</v>
      </c>
      <c r="M179" s="43">
        <f t="shared" si="11"/>
        <v>78.25</v>
      </c>
      <c r="N179" t="str">
        <f t="shared" si="12"/>
        <v>PR</v>
      </c>
    </row>
    <row r="180" spans="1:14">
      <c r="A180" t="s">
        <v>239</v>
      </c>
      <c r="B180">
        <v>112169</v>
      </c>
      <c r="C180">
        <v>24158355</v>
      </c>
      <c r="D180" t="s">
        <v>240</v>
      </c>
      <c r="E180" t="s">
        <v>13</v>
      </c>
      <c r="F180" t="s">
        <v>40</v>
      </c>
      <c r="G180">
        <v>10</v>
      </c>
      <c r="H180">
        <v>8</v>
      </c>
      <c r="I180">
        <v>10</v>
      </c>
      <c r="J180">
        <f>VLOOKUP(C180,exam!$D$29:$V$359,19,0)</f>
        <v>117</v>
      </c>
      <c r="K180">
        <v>10</v>
      </c>
      <c r="L180" s="43">
        <f t="shared" si="10"/>
        <v>77</v>
      </c>
      <c r="M180" s="43">
        <f t="shared" si="11"/>
        <v>77</v>
      </c>
      <c r="N180" t="str">
        <f t="shared" si="12"/>
        <v>PR</v>
      </c>
    </row>
    <row r="181" spans="1:14">
      <c r="A181" t="s">
        <v>249</v>
      </c>
      <c r="B181">
        <v>108840</v>
      </c>
      <c r="C181">
        <v>24105281</v>
      </c>
      <c r="D181" t="s">
        <v>250</v>
      </c>
      <c r="E181" t="s">
        <v>13</v>
      </c>
      <c r="F181" t="s">
        <v>40</v>
      </c>
      <c r="G181">
        <v>7.5</v>
      </c>
      <c r="H181">
        <v>9</v>
      </c>
      <c r="I181">
        <v>10</v>
      </c>
      <c r="J181">
        <f>VLOOKUP(C181,exam!$D$29:$V$359,19,0)</f>
        <v>150.5</v>
      </c>
      <c r="K181">
        <v>10</v>
      </c>
      <c r="L181" s="43">
        <f t="shared" si="10"/>
        <v>86.666666666666657</v>
      </c>
      <c r="M181" s="43">
        <f t="shared" si="11"/>
        <v>86.666666666666657</v>
      </c>
      <c r="N181" t="str">
        <f t="shared" si="12"/>
        <v>H</v>
      </c>
    </row>
    <row r="182" spans="1:14">
      <c r="A182" t="s">
        <v>253</v>
      </c>
      <c r="B182">
        <v>103204</v>
      </c>
      <c r="C182">
        <v>24036992</v>
      </c>
      <c r="D182" t="s">
        <v>254</v>
      </c>
      <c r="E182" t="s">
        <v>13</v>
      </c>
      <c r="F182" t="s">
        <v>40</v>
      </c>
      <c r="G182">
        <v>9.25</v>
      </c>
      <c r="H182">
        <v>9.75</v>
      </c>
      <c r="I182">
        <v>10</v>
      </c>
      <c r="J182">
        <f>VLOOKUP(C182,exam!$D$29:$V$359,19,0)</f>
        <v>157</v>
      </c>
      <c r="K182">
        <v>10</v>
      </c>
      <c r="L182" s="43">
        <f t="shared" si="10"/>
        <v>91.333333333333343</v>
      </c>
      <c r="M182" s="43">
        <f t="shared" si="11"/>
        <v>91.333333333333343</v>
      </c>
      <c r="N182" t="str">
        <f t="shared" si="12"/>
        <v>HH</v>
      </c>
    </row>
    <row r="183" spans="1:14">
      <c r="A183" t="s">
        <v>265</v>
      </c>
      <c r="B183">
        <v>104102</v>
      </c>
      <c r="C183">
        <v>24011900</v>
      </c>
      <c r="D183" t="s">
        <v>266</v>
      </c>
      <c r="E183" t="s">
        <v>13</v>
      </c>
      <c r="F183" t="s">
        <v>40</v>
      </c>
      <c r="G183">
        <v>10</v>
      </c>
      <c r="H183">
        <v>10</v>
      </c>
      <c r="I183">
        <v>10</v>
      </c>
      <c r="J183">
        <f>VLOOKUP(C183,exam!$D$29:$V$359,19,0)</f>
        <v>155.5</v>
      </c>
      <c r="K183">
        <v>10</v>
      </c>
      <c r="L183" s="43">
        <f t="shared" si="10"/>
        <v>91.833333333333343</v>
      </c>
      <c r="M183" s="43">
        <f t="shared" si="11"/>
        <v>91.833333333333343</v>
      </c>
      <c r="N183" t="str">
        <f t="shared" si="12"/>
        <v>HH</v>
      </c>
    </row>
    <row r="184" spans="1:14">
      <c r="A184" t="s">
        <v>273</v>
      </c>
      <c r="B184">
        <v>107195</v>
      </c>
      <c r="C184">
        <v>24079679</v>
      </c>
      <c r="D184" t="s">
        <v>274</v>
      </c>
      <c r="E184" t="s">
        <v>13</v>
      </c>
      <c r="F184" t="s">
        <v>40</v>
      </c>
      <c r="G184">
        <v>10</v>
      </c>
      <c r="H184">
        <v>9.25</v>
      </c>
      <c r="I184">
        <v>10</v>
      </c>
      <c r="J184">
        <f>VLOOKUP(C184,exam!$D$29:$V$359,19,0)</f>
        <v>120.5</v>
      </c>
      <c r="K184">
        <v>10</v>
      </c>
      <c r="L184" s="43">
        <f t="shared" si="10"/>
        <v>79.416666666666657</v>
      </c>
      <c r="M184" s="43">
        <f t="shared" si="11"/>
        <v>79.416666666666657</v>
      </c>
      <c r="N184" t="str">
        <f t="shared" si="12"/>
        <v>PR</v>
      </c>
    </row>
    <row r="185" spans="1:14">
      <c r="A185" t="s">
        <v>289</v>
      </c>
      <c r="B185">
        <v>112183</v>
      </c>
      <c r="C185">
        <v>24158304</v>
      </c>
      <c r="D185" t="s">
        <v>290</v>
      </c>
      <c r="E185" t="s">
        <v>13</v>
      </c>
      <c r="F185" t="s">
        <v>40</v>
      </c>
      <c r="G185">
        <v>10</v>
      </c>
      <c r="H185">
        <v>10</v>
      </c>
      <c r="I185">
        <v>10</v>
      </c>
      <c r="J185">
        <f>VLOOKUP(C185,exam!$D$29:$V$359,19,0)</f>
        <v>145.5</v>
      </c>
      <c r="K185">
        <v>10</v>
      </c>
      <c r="L185" s="43">
        <f t="shared" si="10"/>
        <v>88.5</v>
      </c>
      <c r="M185" s="43">
        <f t="shared" si="11"/>
        <v>88.5</v>
      </c>
      <c r="N185" t="str">
        <f t="shared" si="12"/>
        <v>H</v>
      </c>
    </row>
    <row r="186" spans="1:14">
      <c r="A186" t="s">
        <v>295</v>
      </c>
      <c r="B186">
        <v>104495</v>
      </c>
      <c r="C186">
        <v>24036397</v>
      </c>
      <c r="D186" t="s">
        <v>296</v>
      </c>
      <c r="E186" t="s">
        <v>13</v>
      </c>
      <c r="F186" t="s">
        <v>40</v>
      </c>
      <c r="G186">
        <v>7.25</v>
      </c>
      <c r="H186">
        <v>8</v>
      </c>
      <c r="I186">
        <v>9.5</v>
      </c>
      <c r="J186">
        <f>VLOOKUP(C186,exam!$D$29:$V$359,19,0)</f>
        <v>102.5</v>
      </c>
      <c r="K186">
        <v>10</v>
      </c>
      <c r="L186" s="43">
        <f t="shared" si="10"/>
        <v>68.916666666666657</v>
      </c>
      <c r="M186" s="43">
        <f t="shared" si="11"/>
        <v>68.916666666666657</v>
      </c>
      <c r="N186" t="str">
        <f t="shared" si="12"/>
        <v>PR</v>
      </c>
    </row>
    <row r="187" spans="1:14">
      <c r="A187" t="s">
        <v>299</v>
      </c>
      <c r="B187">
        <v>86127</v>
      </c>
      <c r="C187">
        <v>17519163</v>
      </c>
      <c r="D187" t="s">
        <v>300</v>
      </c>
      <c r="E187" t="s">
        <v>13</v>
      </c>
      <c r="F187" t="s">
        <v>40</v>
      </c>
      <c r="G187">
        <v>8.25</v>
      </c>
      <c r="H187">
        <v>9.75</v>
      </c>
      <c r="I187">
        <v>5.5</v>
      </c>
      <c r="J187">
        <f>VLOOKUP(C187,exam!$D$29:$V$359,19,0)</f>
        <v>118.5</v>
      </c>
      <c r="K187">
        <v>10</v>
      </c>
      <c r="L187" s="43">
        <f t="shared" si="10"/>
        <v>73</v>
      </c>
      <c r="M187" s="43">
        <f t="shared" si="11"/>
        <v>73</v>
      </c>
      <c r="N187" t="str">
        <f t="shared" si="12"/>
        <v>PR</v>
      </c>
    </row>
    <row r="188" spans="1:14">
      <c r="A188" t="s">
        <v>323</v>
      </c>
      <c r="B188">
        <v>109897</v>
      </c>
      <c r="C188">
        <v>24122944</v>
      </c>
      <c r="D188" t="s">
        <v>324</v>
      </c>
      <c r="E188" t="s">
        <v>13</v>
      </c>
      <c r="F188" t="s">
        <v>40</v>
      </c>
      <c r="G188">
        <v>9</v>
      </c>
      <c r="H188">
        <v>7.75</v>
      </c>
      <c r="I188">
        <v>9.5</v>
      </c>
      <c r="J188">
        <f>VLOOKUP(C188,exam!$D$29:$V$359,19,0)</f>
        <v>111</v>
      </c>
      <c r="K188">
        <v>10</v>
      </c>
      <c r="L188" s="43">
        <f t="shared" si="10"/>
        <v>73.25</v>
      </c>
      <c r="M188" s="43">
        <f t="shared" si="11"/>
        <v>73.25</v>
      </c>
      <c r="N188" t="str">
        <f t="shared" si="12"/>
        <v>PR</v>
      </c>
    </row>
    <row r="189" spans="1:14">
      <c r="A189" t="s">
        <v>329</v>
      </c>
      <c r="B189">
        <v>112521</v>
      </c>
      <c r="C189">
        <v>24162945</v>
      </c>
      <c r="D189" t="s">
        <v>330</v>
      </c>
      <c r="E189" t="s">
        <v>13</v>
      </c>
      <c r="F189" t="s">
        <v>40</v>
      </c>
      <c r="G189">
        <v>7.1</v>
      </c>
      <c r="H189">
        <v>8</v>
      </c>
      <c r="I189">
        <v>9.5</v>
      </c>
      <c r="J189">
        <f>VLOOKUP(C189,exam!$D$29:$V$359,19,0)</f>
        <v>143</v>
      </c>
      <c r="K189">
        <v>10</v>
      </c>
      <c r="L189" s="43">
        <f t="shared" si="10"/>
        <v>82.266666666666666</v>
      </c>
      <c r="M189" s="43">
        <f t="shared" si="11"/>
        <v>82.266666666666666</v>
      </c>
      <c r="N189" t="str">
        <f t="shared" si="12"/>
        <v>PR</v>
      </c>
    </row>
    <row r="190" spans="1:14">
      <c r="A190" t="s">
        <v>345</v>
      </c>
      <c r="B190">
        <v>103065</v>
      </c>
      <c r="C190">
        <v>24036669</v>
      </c>
      <c r="D190" t="s">
        <v>346</v>
      </c>
      <c r="E190" t="s">
        <v>13</v>
      </c>
      <c r="F190" t="s">
        <v>40</v>
      </c>
      <c r="G190">
        <v>8.75</v>
      </c>
      <c r="H190">
        <v>8.75</v>
      </c>
      <c r="I190">
        <v>4</v>
      </c>
      <c r="J190">
        <f>VLOOKUP(C190,exam!$D$29:$V$359,19,0)</f>
        <v>129.5</v>
      </c>
      <c r="K190">
        <v>10</v>
      </c>
      <c r="L190" s="43">
        <f t="shared" si="10"/>
        <v>74.666666666666657</v>
      </c>
      <c r="M190" s="43">
        <f t="shared" si="11"/>
        <v>74.666666666666657</v>
      </c>
      <c r="N190" t="str">
        <f t="shared" si="12"/>
        <v>PR</v>
      </c>
    </row>
    <row r="191" spans="1:14">
      <c r="A191" t="s">
        <v>357</v>
      </c>
      <c r="B191">
        <v>103698</v>
      </c>
      <c r="C191">
        <v>24035700</v>
      </c>
      <c r="D191" t="s">
        <v>358</v>
      </c>
      <c r="E191" t="s">
        <v>13</v>
      </c>
      <c r="F191" t="s">
        <v>40</v>
      </c>
      <c r="G191">
        <v>4.5</v>
      </c>
      <c r="H191">
        <v>9.75</v>
      </c>
      <c r="I191">
        <v>10</v>
      </c>
      <c r="J191">
        <f>VLOOKUP(C191,exam!$D$29:$V$359,19,0)</f>
        <v>129.5</v>
      </c>
      <c r="K191">
        <v>10</v>
      </c>
      <c r="L191" s="43">
        <f t="shared" si="10"/>
        <v>77.416666666666657</v>
      </c>
      <c r="M191" s="43">
        <f t="shared" si="11"/>
        <v>77.416666666666657</v>
      </c>
      <c r="N191" t="str">
        <f t="shared" si="12"/>
        <v>PR</v>
      </c>
    </row>
    <row r="192" spans="1:14">
      <c r="A192" t="s">
        <v>375</v>
      </c>
      <c r="B192">
        <v>103096</v>
      </c>
      <c r="C192">
        <v>24036023</v>
      </c>
      <c r="D192" t="s">
        <v>376</v>
      </c>
      <c r="E192" t="s">
        <v>13</v>
      </c>
      <c r="F192" t="s">
        <v>40</v>
      </c>
      <c r="G192">
        <v>9</v>
      </c>
      <c r="H192">
        <v>9.75</v>
      </c>
      <c r="I192">
        <v>10</v>
      </c>
      <c r="J192">
        <f>VLOOKUP(C192,exam!$D$29:$V$359,19,0)</f>
        <v>93.5</v>
      </c>
      <c r="K192">
        <v>10</v>
      </c>
      <c r="L192" s="43">
        <f t="shared" si="10"/>
        <v>69.916666666666671</v>
      </c>
      <c r="M192" s="43">
        <f t="shared" si="11"/>
        <v>69.916666666666671</v>
      </c>
      <c r="N192" t="str">
        <f t="shared" ref="N192:N223" si="13">IF(M192="","",IF(M192&gt;=$Q$3,$P$3,IF(M192&gt;=$Q$4,$P$4,IF(M192&gt;=$Q$5,$P$5,"P"))))</f>
        <v>PR</v>
      </c>
    </row>
    <row r="193" spans="1:14">
      <c r="A193" t="s">
        <v>381</v>
      </c>
      <c r="B193">
        <v>103778</v>
      </c>
      <c r="C193">
        <v>13982199</v>
      </c>
      <c r="D193" t="s">
        <v>382</v>
      </c>
      <c r="E193" t="s">
        <v>13</v>
      </c>
      <c r="F193" t="s">
        <v>40</v>
      </c>
      <c r="G193">
        <v>9.75</v>
      </c>
      <c r="H193">
        <v>9.75</v>
      </c>
      <c r="I193">
        <v>10</v>
      </c>
      <c r="J193">
        <f>VLOOKUP(C193,exam!$D$29:$V$359,19,0)</f>
        <v>130</v>
      </c>
      <c r="K193">
        <v>10</v>
      </c>
      <c r="L193" s="43">
        <f t="shared" si="10"/>
        <v>82.833333333333343</v>
      </c>
      <c r="M193" s="43">
        <f t="shared" si="11"/>
        <v>82.833333333333343</v>
      </c>
      <c r="N193" t="str">
        <f t="shared" si="13"/>
        <v>PR</v>
      </c>
    </row>
    <row r="194" spans="1:14">
      <c r="A194" t="s">
        <v>383</v>
      </c>
      <c r="B194">
        <v>112173</v>
      </c>
      <c r="C194">
        <v>24158525</v>
      </c>
      <c r="D194" t="s">
        <v>384</v>
      </c>
      <c r="E194" t="s">
        <v>13</v>
      </c>
      <c r="F194" t="s">
        <v>40</v>
      </c>
      <c r="G194">
        <v>7</v>
      </c>
      <c r="H194">
        <v>9</v>
      </c>
      <c r="I194">
        <v>9.1</v>
      </c>
      <c r="J194">
        <f>VLOOKUP(C194,exam!$D$29:$V$359,19,0)</f>
        <v>99.5</v>
      </c>
      <c r="K194">
        <v>10</v>
      </c>
      <c r="L194" s="43">
        <f t="shared" si="10"/>
        <v>68.266666666666666</v>
      </c>
      <c r="M194" s="43">
        <f t="shared" si="11"/>
        <v>68.266666666666666</v>
      </c>
      <c r="N194" t="str">
        <f t="shared" si="13"/>
        <v>P</v>
      </c>
    </row>
    <row r="195" spans="1:14">
      <c r="A195" t="s">
        <v>397</v>
      </c>
      <c r="B195">
        <v>109865</v>
      </c>
      <c r="C195">
        <v>24122043</v>
      </c>
      <c r="D195" t="s">
        <v>398</v>
      </c>
      <c r="E195" t="s">
        <v>13</v>
      </c>
      <c r="F195" t="s">
        <v>40</v>
      </c>
      <c r="G195">
        <v>9.25</v>
      </c>
      <c r="H195">
        <v>9</v>
      </c>
      <c r="I195">
        <v>10</v>
      </c>
      <c r="J195">
        <f>VLOOKUP(C195,exam!$D$29:$V$359,19,0)</f>
        <v>159.5</v>
      </c>
      <c r="K195">
        <v>10</v>
      </c>
      <c r="L195" s="43">
        <f t="shared" si="10"/>
        <v>91.416666666666657</v>
      </c>
      <c r="M195" s="43">
        <f t="shared" si="11"/>
        <v>91.416666666666657</v>
      </c>
      <c r="N195" t="str">
        <f t="shared" si="13"/>
        <v>HH</v>
      </c>
    </row>
    <row r="196" spans="1:14">
      <c r="A196" t="s">
        <v>401</v>
      </c>
      <c r="B196">
        <v>104048</v>
      </c>
      <c r="C196">
        <v>24037536</v>
      </c>
      <c r="D196" t="s">
        <v>402</v>
      </c>
      <c r="E196" t="s">
        <v>13</v>
      </c>
      <c r="F196" t="s">
        <v>40</v>
      </c>
      <c r="G196">
        <v>9.75</v>
      </c>
      <c r="H196">
        <v>8</v>
      </c>
      <c r="I196">
        <v>9.5</v>
      </c>
      <c r="J196">
        <f>VLOOKUP(C196,exam!$D$29:$V$359,19,0)</f>
        <v>80</v>
      </c>
      <c r="K196">
        <v>10</v>
      </c>
      <c r="L196" s="43">
        <f t="shared" ref="L196:L259" si="14">SUM(K196,I196,H196,G196)+J196/3</f>
        <v>63.916666666666671</v>
      </c>
      <c r="M196" s="43">
        <f t="shared" ref="M196:M259" si="15">IF(ISERROR(L196),"",L196)</f>
        <v>63.916666666666671</v>
      </c>
      <c r="N196" t="str">
        <f t="shared" si="13"/>
        <v>P</v>
      </c>
    </row>
    <row r="197" spans="1:14">
      <c r="A197" t="s">
        <v>409</v>
      </c>
      <c r="B197">
        <v>107057</v>
      </c>
      <c r="C197">
        <v>24077282</v>
      </c>
      <c r="D197" t="s">
        <v>410</v>
      </c>
      <c r="E197" t="s">
        <v>13</v>
      </c>
      <c r="F197" t="s">
        <v>40</v>
      </c>
      <c r="G197">
        <v>8.75</v>
      </c>
      <c r="H197">
        <v>8.5</v>
      </c>
      <c r="I197">
        <v>8.6</v>
      </c>
      <c r="J197">
        <f>VLOOKUP(C197,exam!$D$29:$V$359,19,0)</f>
        <v>127.5</v>
      </c>
      <c r="K197">
        <v>10</v>
      </c>
      <c r="L197" s="43">
        <f t="shared" si="14"/>
        <v>78.349999999999994</v>
      </c>
      <c r="M197" s="43">
        <f t="shared" si="15"/>
        <v>78.349999999999994</v>
      </c>
      <c r="N197" t="str">
        <f t="shared" si="13"/>
        <v>PR</v>
      </c>
    </row>
    <row r="198" spans="1:14">
      <c r="A198" t="s">
        <v>411</v>
      </c>
      <c r="B198">
        <v>103292</v>
      </c>
      <c r="C198">
        <v>24037519</v>
      </c>
      <c r="D198" t="s">
        <v>412</v>
      </c>
      <c r="E198" t="s">
        <v>13</v>
      </c>
      <c r="F198" t="s">
        <v>40</v>
      </c>
      <c r="G198">
        <v>8</v>
      </c>
      <c r="H198">
        <v>10</v>
      </c>
      <c r="I198">
        <v>9.6</v>
      </c>
      <c r="J198">
        <f>VLOOKUP(C198,exam!$D$29:$V$359,19,0)</f>
        <v>116.5</v>
      </c>
      <c r="K198">
        <v>10</v>
      </c>
      <c r="L198" s="43">
        <f t="shared" si="14"/>
        <v>76.433333333333337</v>
      </c>
      <c r="M198" s="43">
        <f t="shared" si="15"/>
        <v>76.433333333333337</v>
      </c>
      <c r="N198" t="str">
        <f t="shared" si="13"/>
        <v>PR</v>
      </c>
    </row>
    <row r="199" spans="1:14">
      <c r="A199" t="s">
        <v>419</v>
      </c>
      <c r="B199">
        <v>107203</v>
      </c>
      <c r="C199">
        <v>24078812</v>
      </c>
      <c r="D199" t="s">
        <v>420</v>
      </c>
      <c r="E199" t="s">
        <v>13</v>
      </c>
      <c r="F199" t="s">
        <v>40</v>
      </c>
      <c r="G199">
        <v>9</v>
      </c>
      <c r="H199">
        <v>8.75</v>
      </c>
      <c r="I199">
        <v>10</v>
      </c>
      <c r="J199">
        <f>VLOOKUP(C199,exam!$D$29:$V$359,19,0)</f>
        <v>151</v>
      </c>
      <c r="K199">
        <v>10</v>
      </c>
      <c r="L199" s="43">
        <f t="shared" si="14"/>
        <v>88.083333333333343</v>
      </c>
      <c r="M199" s="43">
        <f t="shared" si="15"/>
        <v>88.083333333333343</v>
      </c>
      <c r="N199" t="str">
        <f t="shared" si="13"/>
        <v>H</v>
      </c>
    </row>
    <row r="200" spans="1:14">
      <c r="A200" t="s">
        <v>421</v>
      </c>
      <c r="B200">
        <v>103981</v>
      </c>
      <c r="C200">
        <v>24037485</v>
      </c>
      <c r="D200" t="s">
        <v>422</v>
      </c>
      <c r="E200" t="s">
        <v>13</v>
      </c>
      <c r="F200" t="s">
        <v>40</v>
      </c>
      <c r="G200">
        <v>10</v>
      </c>
      <c r="H200">
        <v>9.75</v>
      </c>
      <c r="I200">
        <v>10</v>
      </c>
      <c r="J200">
        <f>VLOOKUP(C200,exam!$D$29:$V$359,19,0)</f>
        <v>154.5</v>
      </c>
      <c r="K200">
        <v>10</v>
      </c>
      <c r="L200" s="43">
        <f t="shared" si="14"/>
        <v>91.25</v>
      </c>
      <c r="M200" s="43">
        <f t="shared" si="15"/>
        <v>91.25</v>
      </c>
      <c r="N200" t="str">
        <f t="shared" si="13"/>
        <v>H</v>
      </c>
    </row>
    <row r="201" spans="1:14">
      <c r="A201" t="s">
        <v>445</v>
      </c>
      <c r="B201">
        <v>104553</v>
      </c>
      <c r="C201">
        <v>24035921</v>
      </c>
      <c r="D201" t="s">
        <v>446</v>
      </c>
      <c r="E201" t="s">
        <v>13</v>
      </c>
      <c r="F201" t="s">
        <v>40</v>
      </c>
      <c r="G201">
        <v>9.5</v>
      </c>
      <c r="H201">
        <v>8.75</v>
      </c>
      <c r="I201">
        <v>10</v>
      </c>
      <c r="J201">
        <f>VLOOKUP(C201,exam!$D$29:$V$359,19,0)</f>
        <v>121.5</v>
      </c>
      <c r="K201">
        <v>10</v>
      </c>
      <c r="L201" s="43">
        <f t="shared" si="14"/>
        <v>78.75</v>
      </c>
      <c r="M201" s="43">
        <f t="shared" si="15"/>
        <v>78.75</v>
      </c>
      <c r="N201" t="str">
        <f t="shared" si="13"/>
        <v>PR</v>
      </c>
    </row>
    <row r="202" spans="1:14">
      <c r="A202" t="s">
        <v>453</v>
      </c>
      <c r="B202">
        <v>103465</v>
      </c>
      <c r="C202">
        <v>24011475</v>
      </c>
      <c r="D202" t="s">
        <v>454</v>
      </c>
      <c r="E202" t="s">
        <v>13</v>
      </c>
      <c r="F202" t="s">
        <v>40</v>
      </c>
      <c r="G202">
        <v>9.5</v>
      </c>
      <c r="H202">
        <v>10</v>
      </c>
      <c r="I202">
        <v>10</v>
      </c>
      <c r="J202">
        <f>VLOOKUP(C202,exam!$D$29:$V$359,19,0)</f>
        <v>160.5</v>
      </c>
      <c r="K202">
        <v>10</v>
      </c>
      <c r="L202" s="43">
        <f t="shared" si="14"/>
        <v>93</v>
      </c>
      <c r="M202" s="43">
        <f t="shared" si="15"/>
        <v>93</v>
      </c>
      <c r="N202" t="str">
        <f t="shared" si="13"/>
        <v>HH</v>
      </c>
    </row>
    <row r="203" spans="1:14">
      <c r="A203" t="s">
        <v>457</v>
      </c>
      <c r="B203">
        <v>103709</v>
      </c>
      <c r="C203">
        <v>14407352</v>
      </c>
      <c r="D203" t="s">
        <v>458</v>
      </c>
      <c r="E203" t="s">
        <v>13</v>
      </c>
      <c r="F203" t="s">
        <v>40</v>
      </c>
      <c r="G203">
        <v>9.75</v>
      </c>
      <c r="H203">
        <v>6.75</v>
      </c>
      <c r="I203">
        <v>9</v>
      </c>
      <c r="J203">
        <f>VLOOKUP(C203,exam!$D$29:$V$359,19,0)</f>
        <v>115</v>
      </c>
      <c r="K203">
        <v>10</v>
      </c>
      <c r="L203" s="43">
        <f t="shared" si="14"/>
        <v>73.833333333333343</v>
      </c>
      <c r="M203" s="43">
        <f t="shared" si="15"/>
        <v>73.833333333333343</v>
      </c>
      <c r="N203" t="str">
        <f t="shared" si="13"/>
        <v>PR</v>
      </c>
    </row>
    <row r="204" spans="1:14">
      <c r="A204" t="s">
        <v>477</v>
      </c>
      <c r="B204">
        <v>84940</v>
      </c>
      <c r="C204">
        <v>17506515</v>
      </c>
      <c r="D204" t="s">
        <v>478</v>
      </c>
      <c r="E204" t="s">
        <v>13</v>
      </c>
      <c r="F204" t="s">
        <v>40</v>
      </c>
      <c r="G204">
        <v>9.5</v>
      </c>
      <c r="H204">
        <v>8</v>
      </c>
      <c r="I204">
        <v>10</v>
      </c>
      <c r="J204">
        <f>VLOOKUP(C204,exam!$D$29:$V$359,19,0)</f>
        <v>118</v>
      </c>
      <c r="K204">
        <v>10</v>
      </c>
      <c r="L204" s="43">
        <f t="shared" si="14"/>
        <v>76.833333333333343</v>
      </c>
      <c r="M204" s="43">
        <f t="shared" si="15"/>
        <v>76.833333333333343</v>
      </c>
      <c r="N204" t="str">
        <f t="shared" si="13"/>
        <v>PR</v>
      </c>
    </row>
    <row r="205" spans="1:14">
      <c r="A205" t="s">
        <v>509</v>
      </c>
      <c r="B205">
        <v>111057</v>
      </c>
      <c r="C205">
        <v>24142103</v>
      </c>
      <c r="D205" t="s">
        <v>510</v>
      </c>
      <c r="E205" t="s">
        <v>13</v>
      </c>
      <c r="F205" t="s">
        <v>40</v>
      </c>
      <c r="G205">
        <v>9.25</v>
      </c>
      <c r="H205">
        <v>10</v>
      </c>
      <c r="I205">
        <v>9.5</v>
      </c>
      <c r="J205">
        <f>VLOOKUP(C205,exam!$D$29:$V$359,19,0)</f>
        <v>141</v>
      </c>
      <c r="K205">
        <v>10</v>
      </c>
      <c r="L205" s="43">
        <f t="shared" si="14"/>
        <v>85.75</v>
      </c>
      <c r="M205" s="43">
        <f t="shared" si="15"/>
        <v>85.75</v>
      </c>
      <c r="N205" t="str">
        <f t="shared" si="13"/>
        <v>H</v>
      </c>
    </row>
    <row r="206" spans="1:14">
      <c r="A206" t="s">
        <v>515</v>
      </c>
      <c r="B206">
        <v>33901</v>
      </c>
      <c r="C206">
        <v>15904474</v>
      </c>
      <c r="D206" t="s">
        <v>516</v>
      </c>
      <c r="E206" t="s">
        <v>13</v>
      </c>
      <c r="F206" t="s">
        <v>40</v>
      </c>
      <c r="G206">
        <v>8.75</v>
      </c>
      <c r="H206">
        <v>8.5</v>
      </c>
      <c r="I206">
        <v>10</v>
      </c>
      <c r="J206">
        <f>VLOOKUP(C206,exam!$D$29:$V$359,19,0)</f>
        <v>73.5</v>
      </c>
      <c r="K206">
        <v>10</v>
      </c>
      <c r="L206" s="43">
        <f t="shared" si="14"/>
        <v>61.75</v>
      </c>
      <c r="M206" s="43">
        <f t="shared" si="15"/>
        <v>61.75</v>
      </c>
      <c r="N206" t="str">
        <f t="shared" si="13"/>
        <v>P</v>
      </c>
    </row>
    <row r="207" spans="1:14">
      <c r="A207" t="s">
        <v>517</v>
      </c>
      <c r="B207">
        <v>108653</v>
      </c>
      <c r="C207">
        <v>24102969</v>
      </c>
      <c r="D207" t="s">
        <v>518</v>
      </c>
      <c r="E207" t="s">
        <v>13</v>
      </c>
      <c r="F207" t="s">
        <v>40</v>
      </c>
      <c r="G207">
        <v>9</v>
      </c>
      <c r="H207">
        <v>9.75</v>
      </c>
      <c r="I207">
        <v>10</v>
      </c>
      <c r="J207">
        <f>VLOOKUP(C207,exam!$D$29:$V$359,19,0)</f>
        <v>102.5</v>
      </c>
      <c r="K207">
        <v>10</v>
      </c>
      <c r="L207" s="43">
        <f t="shared" si="14"/>
        <v>72.916666666666657</v>
      </c>
      <c r="M207" s="43">
        <f t="shared" si="15"/>
        <v>72.916666666666657</v>
      </c>
      <c r="N207" t="str">
        <f t="shared" si="13"/>
        <v>PR</v>
      </c>
    </row>
    <row r="208" spans="1:14">
      <c r="A208" t="s">
        <v>525</v>
      </c>
      <c r="B208">
        <v>109996</v>
      </c>
      <c r="C208">
        <v>24124338</v>
      </c>
      <c r="D208" t="s">
        <v>526</v>
      </c>
      <c r="E208" t="s">
        <v>13</v>
      </c>
      <c r="F208" t="s">
        <v>40</v>
      </c>
      <c r="G208">
        <v>9</v>
      </c>
      <c r="H208">
        <v>8.5</v>
      </c>
      <c r="I208">
        <v>9.5</v>
      </c>
      <c r="J208">
        <f>VLOOKUP(C208,exam!$D$29:$V$359,19,0)</f>
        <v>80</v>
      </c>
      <c r="K208">
        <v>10</v>
      </c>
      <c r="L208" s="43">
        <f t="shared" si="14"/>
        <v>63.666666666666671</v>
      </c>
      <c r="M208" s="43">
        <f t="shared" si="15"/>
        <v>63.666666666666671</v>
      </c>
      <c r="N208" t="str">
        <f t="shared" si="13"/>
        <v>P</v>
      </c>
    </row>
    <row r="209" spans="1:14">
      <c r="A209" t="s">
        <v>541</v>
      </c>
      <c r="B209">
        <v>109702</v>
      </c>
      <c r="C209">
        <v>24119595</v>
      </c>
      <c r="D209" t="s">
        <v>542</v>
      </c>
      <c r="E209" t="s">
        <v>13</v>
      </c>
      <c r="F209" t="s">
        <v>40</v>
      </c>
      <c r="G209">
        <v>9</v>
      </c>
      <c r="H209">
        <v>10</v>
      </c>
      <c r="I209">
        <v>9</v>
      </c>
      <c r="J209">
        <f>VLOOKUP(C209,exam!$D$29:$V$359,19,0)</f>
        <v>165</v>
      </c>
      <c r="K209">
        <v>10</v>
      </c>
      <c r="L209" s="43">
        <f t="shared" si="14"/>
        <v>93</v>
      </c>
      <c r="M209" s="43">
        <f t="shared" si="15"/>
        <v>93</v>
      </c>
      <c r="N209" t="str">
        <f t="shared" si="13"/>
        <v>HH</v>
      </c>
    </row>
    <row r="210" spans="1:14">
      <c r="A210" t="s">
        <v>553</v>
      </c>
      <c r="B210">
        <v>109602</v>
      </c>
      <c r="C210">
        <v>24119697</v>
      </c>
      <c r="D210" t="s">
        <v>554</v>
      </c>
      <c r="E210" t="s">
        <v>13</v>
      </c>
      <c r="F210" t="s">
        <v>40</v>
      </c>
      <c r="G210">
        <v>8.75</v>
      </c>
      <c r="H210">
        <v>7.75</v>
      </c>
      <c r="I210">
        <v>9</v>
      </c>
      <c r="J210">
        <f>VLOOKUP(C210,exam!$D$29:$V$359,19,0)</f>
        <v>148</v>
      </c>
      <c r="K210">
        <v>10</v>
      </c>
      <c r="L210" s="43">
        <f t="shared" si="14"/>
        <v>84.833333333333343</v>
      </c>
      <c r="M210" s="43">
        <f t="shared" si="15"/>
        <v>84.833333333333343</v>
      </c>
      <c r="N210" t="str">
        <f t="shared" si="13"/>
        <v>PR</v>
      </c>
    </row>
    <row r="211" spans="1:14">
      <c r="A211" t="s">
        <v>555</v>
      </c>
      <c r="B211">
        <v>103266</v>
      </c>
      <c r="C211">
        <v>24037111</v>
      </c>
      <c r="D211" t="s">
        <v>556</v>
      </c>
      <c r="E211" t="s">
        <v>13</v>
      </c>
      <c r="F211" t="s">
        <v>40</v>
      </c>
      <c r="G211">
        <v>7.25</v>
      </c>
      <c r="H211">
        <v>9.75</v>
      </c>
      <c r="I211">
        <v>10</v>
      </c>
      <c r="J211">
        <f>VLOOKUP(C211,exam!$D$29:$V$359,19,0)</f>
        <v>134</v>
      </c>
      <c r="K211">
        <v>10</v>
      </c>
      <c r="L211" s="43">
        <f t="shared" si="14"/>
        <v>81.666666666666657</v>
      </c>
      <c r="M211" s="43">
        <f t="shared" si="15"/>
        <v>81.666666666666657</v>
      </c>
      <c r="N211" t="str">
        <f t="shared" si="13"/>
        <v>PR</v>
      </c>
    </row>
    <row r="212" spans="1:14">
      <c r="A212" t="s">
        <v>561</v>
      </c>
      <c r="B212">
        <v>103208</v>
      </c>
      <c r="C212">
        <v>24011968</v>
      </c>
      <c r="D212" t="s">
        <v>562</v>
      </c>
      <c r="E212" t="s">
        <v>13</v>
      </c>
      <c r="F212" t="s">
        <v>40</v>
      </c>
      <c r="G212">
        <v>9.25</v>
      </c>
      <c r="H212">
        <v>9.75</v>
      </c>
      <c r="I212">
        <v>9.5</v>
      </c>
      <c r="J212">
        <f>VLOOKUP(C212,exam!$D$29:$V$359,19,0)</f>
        <v>154.5</v>
      </c>
      <c r="K212">
        <v>10</v>
      </c>
      <c r="L212" s="43">
        <f t="shared" si="14"/>
        <v>90</v>
      </c>
      <c r="M212" s="43">
        <f t="shared" si="15"/>
        <v>90</v>
      </c>
      <c r="N212" t="str">
        <f t="shared" si="13"/>
        <v>H</v>
      </c>
    </row>
    <row r="213" spans="1:14">
      <c r="A213" t="s">
        <v>593</v>
      </c>
      <c r="B213">
        <v>111146</v>
      </c>
      <c r="C213">
        <v>24143803</v>
      </c>
      <c r="D213" t="s">
        <v>594</v>
      </c>
      <c r="E213" t="s">
        <v>13</v>
      </c>
      <c r="F213" t="s">
        <v>40</v>
      </c>
      <c r="G213">
        <v>10</v>
      </c>
      <c r="H213">
        <v>9.5</v>
      </c>
      <c r="I213">
        <v>10</v>
      </c>
      <c r="J213">
        <f>VLOOKUP(C213,exam!$D$29:$V$359,19,0)</f>
        <v>152.5</v>
      </c>
      <c r="K213">
        <v>10</v>
      </c>
      <c r="L213" s="43">
        <f t="shared" si="14"/>
        <v>90.333333333333343</v>
      </c>
      <c r="M213" s="43">
        <f t="shared" si="15"/>
        <v>90.333333333333343</v>
      </c>
      <c r="N213" t="str">
        <f t="shared" si="13"/>
        <v>H</v>
      </c>
    </row>
    <row r="214" spans="1:14">
      <c r="A214" t="s">
        <v>599</v>
      </c>
      <c r="B214">
        <v>107958</v>
      </c>
      <c r="C214">
        <v>24092803</v>
      </c>
      <c r="D214" t="s">
        <v>600</v>
      </c>
      <c r="E214" t="s">
        <v>13</v>
      </c>
      <c r="F214" t="s">
        <v>40</v>
      </c>
      <c r="G214">
        <v>9.75</v>
      </c>
      <c r="H214">
        <v>10</v>
      </c>
      <c r="I214">
        <v>10</v>
      </c>
      <c r="J214">
        <f>VLOOKUP(C214,exam!$D$29:$V$359,19,0)</f>
        <v>169.5</v>
      </c>
      <c r="K214">
        <v>10</v>
      </c>
      <c r="L214" s="43">
        <f t="shared" si="14"/>
        <v>96.25</v>
      </c>
      <c r="M214" s="43">
        <f t="shared" si="15"/>
        <v>96.25</v>
      </c>
      <c r="N214" t="str">
        <f t="shared" si="13"/>
        <v>HH</v>
      </c>
    </row>
    <row r="215" spans="1:14">
      <c r="A215" t="s">
        <v>627</v>
      </c>
      <c r="B215">
        <v>103722</v>
      </c>
      <c r="C215">
        <v>24036210</v>
      </c>
      <c r="D215" t="s">
        <v>628</v>
      </c>
      <c r="E215" t="s">
        <v>13</v>
      </c>
      <c r="F215" t="s">
        <v>40</v>
      </c>
      <c r="G215">
        <v>10</v>
      </c>
      <c r="H215">
        <v>8.5</v>
      </c>
      <c r="I215">
        <v>10</v>
      </c>
      <c r="J215">
        <f>VLOOKUP(C215,exam!$D$29:$V$359,19,0)</f>
        <v>111</v>
      </c>
      <c r="K215">
        <v>10</v>
      </c>
      <c r="L215" s="43">
        <f t="shared" si="14"/>
        <v>75.5</v>
      </c>
      <c r="M215" s="43">
        <f t="shared" si="15"/>
        <v>75.5</v>
      </c>
      <c r="N215" t="str">
        <f t="shared" si="13"/>
        <v>PR</v>
      </c>
    </row>
    <row r="216" spans="1:14">
      <c r="A216" t="s">
        <v>635</v>
      </c>
      <c r="B216">
        <v>103331</v>
      </c>
      <c r="C216">
        <v>24037587</v>
      </c>
      <c r="D216" t="s">
        <v>636</v>
      </c>
      <c r="E216" t="s">
        <v>13</v>
      </c>
      <c r="F216" t="s">
        <v>40</v>
      </c>
      <c r="G216">
        <v>9.5</v>
      </c>
      <c r="H216">
        <v>8.75</v>
      </c>
      <c r="I216">
        <v>10</v>
      </c>
      <c r="J216">
        <f>VLOOKUP(C216,exam!$D$29:$V$359,19,0)</f>
        <v>133.5</v>
      </c>
      <c r="K216">
        <v>10</v>
      </c>
      <c r="L216" s="43">
        <f t="shared" si="14"/>
        <v>82.75</v>
      </c>
      <c r="M216" s="43">
        <f t="shared" si="15"/>
        <v>82.75</v>
      </c>
      <c r="N216" t="str">
        <f t="shared" si="13"/>
        <v>PR</v>
      </c>
    </row>
    <row r="217" spans="1:14">
      <c r="A217" t="s">
        <v>637</v>
      </c>
      <c r="B217">
        <v>65383</v>
      </c>
      <c r="C217">
        <v>17333914</v>
      </c>
      <c r="D217" t="s">
        <v>638</v>
      </c>
      <c r="E217" t="s">
        <v>13</v>
      </c>
      <c r="F217" t="s">
        <v>40</v>
      </c>
      <c r="G217">
        <v>9.5</v>
      </c>
      <c r="H217">
        <v>6</v>
      </c>
      <c r="I217">
        <v>9.5</v>
      </c>
      <c r="J217">
        <f>VLOOKUP(C217,exam!$D$29:$V$359,19,0)</f>
        <v>107</v>
      </c>
      <c r="K217">
        <v>10</v>
      </c>
      <c r="L217" s="43">
        <f t="shared" si="14"/>
        <v>70.666666666666657</v>
      </c>
      <c r="M217" s="43">
        <f t="shared" si="15"/>
        <v>70.666666666666657</v>
      </c>
      <c r="N217" t="str">
        <f t="shared" si="13"/>
        <v>PR</v>
      </c>
    </row>
    <row r="218" spans="1:14">
      <c r="A218" t="s">
        <v>639</v>
      </c>
      <c r="B218">
        <v>103686</v>
      </c>
      <c r="C218">
        <v>24036720</v>
      </c>
      <c r="D218" t="s">
        <v>640</v>
      </c>
      <c r="E218" t="s">
        <v>13</v>
      </c>
      <c r="F218" t="s">
        <v>40</v>
      </c>
      <c r="G218">
        <v>9.75</v>
      </c>
      <c r="H218">
        <v>9.25</v>
      </c>
      <c r="I218">
        <v>10</v>
      </c>
      <c r="J218">
        <f>VLOOKUP(C218,exam!$D$29:$V$359,19,0)</f>
        <v>158</v>
      </c>
      <c r="K218">
        <v>10</v>
      </c>
      <c r="L218" s="43">
        <f t="shared" si="14"/>
        <v>91.666666666666657</v>
      </c>
      <c r="M218" s="43">
        <f t="shared" si="15"/>
        <v>91.666666666666657</v>
      </c>
      <c r="N218" t="str">
        <f t="shared" si="13"/>
        <v>HH</v>
      </c>
    </row>
    <row r="219" spans="1:14">
      <c r="A219" t="s">
        <v>643</v>
      </c>
      <c r="B219">
        <v>107585</v>
      </c>
      <c r="C219">
        <v>24086275</v>
      </c>
      <c r="D219" t="s">
        <v>644</v>
      </c>
      <c r="E219" t="s">
        <v>13</v>
      </c>
      <c r="F219" t="s">
        <v>40</v>
      </c>
      <c r="G219">
        <v>8.25</v>
      </c>
      <c r="H219">
        <v>9</v>
      </c>
      <c r="I219">
        <v>10</v>
      </c>
      <c r="J219">
        <f>VLOOKUP(C219,exam!$D$29:$V$359,19,0)</f>
        <v>120</v>
      </c>
      <c r="K219">
        <v>10</v>
      </c>
      <c r="L219" s="43">
        <f t="shared" si="14"/>
        <v>77.25</v>
      </c>
      <c r="M219" s="43">
        <f t="shared" si="15"/>
        <v>77.25</v>
      </c>
      <c r="N219" t="str">
        <f t="shared" si="13"/>
        <v>PR</v>
      </c>
    </row>
    <row r="220" spans="1:14">
      <c r="A220" t="s">
        <v>663</v>
      </c>
      <c r="B220">
        <v>109795</v>
      </c>
      <c r="C220">
        <v>24119748</v>
      </c>
      <c r="D220" t="s">
        <v>664</v>
      </c>
      <c r="E220" t="s">
        <v>13</v>
      </c>
      <c r="F220" t="s">
        <v>40</v>
      </c>
      <c r="G220">
        <v>8.25</v>
      </c>
      <c r="H220">
        <v>10</v>
      </c>
      <c r="I220">
        <v>10</v>
      </c>
      <c r="J220">
        <f>VLOOKUP(C220,exam!$D$29:$V$359,19,0)</f>
        <v>142.5</v>
      </c>
      <c r="K220">
        <v>10</v>
      </c>
      <c r="L220" s="43">
        <f t="shared" si="14"/>
        <v>85.75</v>
      </c>
      <c r="M220" s="43">
        <f t="shared" si="15"/>
        <v>85.75</v>
      </c>
      <c r="N220" t="str">
        <f t="shared" si="13"/>
        <v>H</v>
      </c>
    </row>
    <row r="221" spans="1:14">
      <c r="A221" t="s">
        <v>673</v>
      </c>
      <c r="B221">
        <v>112216</v>
      </c>
      <c r="C221">
        <v>24158491</v>
      </c>
      <c r="D221" t="s">
        <v>674</v>
      </c>
      <c r="E221" t="s">
        <v>13</v>
      </c>
      <c r="F221" t="s">
        <v>40</v>
      </c>
      <c r="G221">
        <v>9.25</v>
      </c>
      <c r="H221">
        <v>8.5</v>
      </c>
      <c r="I221">
        <v>9.5</v>
      </c>
      <c r="J221">
        <f>VLOOKUP(C221,exam!$D$29:$V$359,19,0)</f>
        <v>144.5</v>
      </c>
      <c r="K221">
        <v>10</v>
      </c>
      <c r="L221" s="43">
        <f t="shared" si="14"/>
        <v>85.416666666666657</v>
      </c>
      <c r="M221" s="43">
        <f t="shared" si="15"/>
        <v>85.416666666666657</v>
      </c>
      <c r="N221" t="str">
        <f t="shared" si="13"/>
        <v>H</v>
      </c>
    </row>
    <row r="222" spans="1:14">
      <c r="A222" t="s">
        <v>675</v>
      </c>
      <c r="B222">
        <v>108413</v>
      </c>
      <c r="C222">
        <v>24099365</v>
      </c>
      <c r="D222" t="s">
        <v>676</v>
      </c>
      <c r="E222" t="s">
        <v>13</v>
      </c>
      <c r="F222" t="s">
        <v>40</v>
      </c>
      <c r="G222">
        <v>9.25</v>
      </c>
      <c r="H222">
        <v>8.75</v>
      </c>
      <c r="I222">
        <v>10</v>
      </c>
      <c r="J222">
        <f>VLOOKUP(C222,exam!$D$29:$V$359,19,0)</f>
        <v>139.5</v>
      </c>
      <c r="K222">
        <v>10</v>
      </c>
      <c r="L222" s="43">
        <f t="shared" si="14"/>
        <v>84.5</v>
      </c>
      <c r="M222" s="43">
        <f t="shared" si="15"/>
        <v>84.5</v>
      </c>
      <c r="N222" t="str">
        <f t="shared" si="13"/>
        <v>PR</v>
      </c>
    </row>
    <row r="223" spans="1:14">
      <c r="A223" t="s">
        <v>677</v>
      </c>
      <c r="B223">
        <v>103259</v>
      </c>
      <c r="C223">
        <v>24036414</v>
      </c>
      <c r="D223" t="s">
        <v>678</v>
      </c>
      <c r="E223" t="s">
        <v>13</v>
      </c>
      <c r="F223" t="s">
        <v>40</v>
      </c>
      <c r="G223">
        <v>7.5</v>
      </c>
      <c r="H223">
        <v>9.5</v>
      </c>
      <c r="I223">
        <v>10</v>
      </c>
      <c r="J223">
        <f>VLOOKUP(C223,exam!$D$29:$V$359,19,0)</f>
        <v>94</v>
      </c>
      <c r="K223">
        <v>10</v>
      </c>
      <c r="L223" s="43">
        <f t="shared" si="14"/>
        <v>68.333333333333329</v>
      </c>
      <c r="M223" s="43">
        <f t="shared" si="15"/>
        <v>68.333333333333329</v>
      </c>
      <c r="N223" t="str">
        <f t="shared" si="13"/>
        <v>PR</v>
      </c>
    </row>
    <row r="224" spans="1:14">
      <c r="A224" t="s">
        <v>683</v>
      </c>
      <c r="B224">
        <v>113480</v>
      </c>
      <c r="C224">
        <v>24176477</v>
      </c>
      <c r="D224" t="s">
        <v>684</v>
      </c>
      <c r="E224" t="s">
        <v>13</v>
      </c>
      <c r="F224" t="s">
        <v>40</v>
      </c>
      <c r="G224">
        <v>8</v>
      </c>
      <c r="H224">
        <v>3.25</v>
      </c>
      <c r="I224">
        <v>10</v>
      </c>
      <c r="J224">
        <f>VLOOKUP(C224,exam!$D$29:$V$359,19,0)</f>
        <v>119</v>
      </c>
      <c r="K224">
        <v>10</v>
      </c>
      <c r="L224" s="43">
        <f t="shared" si="14"/>
        <v>70.916666666666657</v>
      </c>
      <c r="M224" s="43">
        <f t="shared" si="15"/>
        <v>70.916666666666657</v>
      </c>
      <c r="N224" t="str">
        <f t="shared" ref="N224:N225" si="16">IF(M224="","",IF(M224&gt;=$Q$3,$P$3,IF(M224&gt;=$Q$4,$P$4,IF(M224&gt;=$Q$5,$P$5,"P"))))</f>
        <v>PR</v>
      </c>
    </row>
    <row r="225" spans="1:14">
      <c r="A225" t="s">
        <v>691</v>
      </c>
      <c r="B225">
        <v>109976</v>
      </c>
      <c r="C225">
        <v>24122876</v>
      </c>
      <c r="D225" t="s">
        <v>692</v>
      </c>
      <c r="E225" t="s">
        <v>13</v>
      </c>
      <c r="F225" t="s">
        <v>40</v>
      </c>
      <c r="G225">
        <v>9.5</v>
      </c>
      <c r="H225">
        <v>9</v>
      </c>
      <c r="I225">
        <v>10</v>
      </c>
      <c r="J225">
        <f>VLOOKUP(C225,exam!$D$29:$V$359,19,0)</f>
        <v>141.5</v>
      </c>
      <c r="K225">
        <v>10</v>
      </c>
      <c r="L225" s="43">
        <f t="shared" si="14"/>
        <v>85.666666666666657</v>
      </c>
      <c r="M225" s="43">
        <f t="shared" si="15"/>
        <v>85.666666666666657</v>
      </c>
      <c r="N225" t="str">
        <f t="shared" si="16"/>
        <v>H</v>
      </c>
    </row>
    <row r="226" spans="1:14">
      <c r="A226" t="s">
        <v>705</v>
      </c>
      <c r="B226">
        <v>107311</v>
      </c>
      <c r="C226">
        <v>24080903</v>
      </c>
      <c r="D226" t="s">
        <v>706</v>
      </c>
      <c r="E226" t="s">
        <v>13</v>
      </c>
      <c r="F226" t="s">
        <v>40</v>
      </c>
      <c r="G226">
        <v>7.5</v>
      </c>
      <c r="H226">
        <v>9.5</v>
      </c>
      <c r="I226">
        <v>10</v>
      </c>
      <c r="J226">
        <f>VLOOKUP(C226,exam!$D$29:$V$359,19,0)</f>
        <v>42.5</v>
      </c>
      <c r="K226">
        <v>10</v>
      </c>
      <c r="L226" s="43">
        <f t="shared" si="14"/>
        <v>51.166666666666664</v>
      </c>
      <c r="M226" s="43">
        <f t="shared" si="15"/>
        <v>51.166666666666664</v>
      </c>
      <c r="N226" t="s">
        <v>766</v>
      </c>
    </row>
    <row r="227" spans="1:14">
      <c r="A227" t="s">
        <v>711</v>
      </c>
      <c r="B227">
        <v>109789</v>
      </c>
      <c r="C227">
        <v>24119680</v>
      </c>
      <c r="D227" t="s">
        <v>712</v>
      </c>
      <c r="E227" t="s">
        <v>13</v>
      </c>
      <c r="F227" t="s">
        <v>40</v>
      </c>
      <c r="G227">
        <v>8.5</v>
      </c>
      <c r="H227">
        <v>8.75</v>
      </c>
      <c r="I227">
        <v>10</v>
      </c>
      <c r="J227">
        <f>VLOOKUP(C227,exam!$D$29:$V$359,19,0)</f>
        <v>129</v>
      </c>
      <c r="K227">
        <v>10</v>
      </c>
      <c r="L227" s="43">
        <f t="shared" si="14"/>
        <v>80.25</v>
      </c>
      <c r="M227" s="43">
        <f t="shared" si="15"/>
        <v>80.25</v>
      </c>
      <c r="N227" t="str">
        <f t="shared" ref="N227:N258" si="17">IF(M227="","",IF(M227&gt;=$Q$3,$P$3,IF(M227&gt;=$Q$4,$P$4,IF(M227&gt;=$Q$5,$P$5,"P"))))</f>
        <v>PR</v>
      </c>
    </row>
    <row r="228" spans="1:14">
      <c r="A228" t="s">
        <v>717</v>
      </c>
      <c r="B228">
        <v>109651</v>
      </c>
      <c r="C228">
        <v>24119646</v>
      </c>
      <c r="D228" t="s">
        <v>718</v>
      </c>
      <c r="E228" t="s">
        <v>13</v>
      </c>
      <c r="F228" t="s">
        <v>40</v>
      </c>
      <c r="G228">
        <v>9.25</v>
      </c>
      <c r="H228">
        <v>9</v>
      </c>
      <c r="I228">
        <v>10</v>
      </c>
      <c r="J228">
        <f>VLOOKUP(C228,exam!$D$29:$V$359,19,0)</f>
        <v>122</v>
      </c>
      <c r="K228">
        <v>10</v>
      </c>
      <c r="L228" s="43">
        <f t="shared" si="14"/>
        <v>78.916666666666657</v>
      </c>
      <c r="M228" s="43">
        <f t="shared" si="15"/>
        <v>78.916666666666657</v>
      </c>
      <c r="N228" t="str">
        <f t="shared" si="17"/>
        <v>PR</v>
      </c>
    </row>
    <row r="229" spans="1:14">
      <c r="A229" t="s">
        <v>11</v>
      </c>
      <c r="B229">
        <v>103851</v>
      </c>
      <c r="C229">
        <v>24036805</v>
      </c>
      <c r="D229" t="s">
        <v>12</v>
      </c>
      <c r="E229" t="s">
        <v>13</v>
      </c>
      <c r="F229" t="s">
        <v>14</v>
      </c>
      <c r="G229">
        <v>7.5</v>
      </c>
      <c r="H229">
        <v>9.5</v>
      </c>
      <c r="I229">
        <v>9.5</v>
      </c>
      <c r="J229">
        <f>VLOOKUP(C229,exam!$D$29:$V$359,19,0)</f>
        <v>157</v>
      </c>
      <c r="K229">
        <v>10</v>
      </c>
      <c r="L229" s="43">
        <f t="shared" si="14"/>
        <v>88.833333333333343</v>
      </c>
      <c r="M229" s="43">
        <f t="shared" si="15"/>
        <v>88.833333333333343</v>
      </c>
      <c r="N229" t="str">
        <f t="shared" si="17"/>
        <v>H</v>
      </c>
    </row>
    <row r="230" spans="1:14">
      <c r="A230" t="s">
        <v>32</v>
      </c>
      <c r="B230">
        <v>107650</v>
      </c>
      <c r="C230">
        <v>24084898</v>
      </c>
      <c r="D230" t="s">
        <v>33</v>
      </c>
      <c r="E230" t="s">
        <v>13</v>
      </c>
      <c r="F230" t="s">
        <v>14</v>
      </c>
      <c r="G230">
        <v>9.5</v>
      </c>
      <c r="H230">
        <v>9.5</v>
      </c>
      <c r="I230">
        <v>10</v>
      </c>
      <c r="J230">
        <f>VLOOKUP(C230,exam!$D$29:$V$359,19,0)</f>
        <v>92</v>
      </c>
      <c r="K230">
        <v>10</v>
      </c>
      <c r="L230" s="43">
        <f t="shared" si="14"/>
        <v>69.666666666666671</v>
      </c>
      <c r="M230" s="43">
        <f t="shared" si="15"/>
        <v>69.666666666666671</v>
      </c>
      <c r="N230" t="str">
        <f t="shared" si="17"/>
        <v>PR</v>
      </c>
    </row>
    <row r="231" spans="1:14">
      <c r="A231" t="s">
        <v>41</v>
      </c>
      <c r="B231">
        <v>109628</v>
      </c>
      <c r="C231">
        <v>24119612</v>
      </c>
      <c r="D231" t="s">
        <v>42</v>
      </c>
      <c r="E231" t="s">
        <v>13</v>
      </c>
      <c r="F231" t="s">
        <v>14</v>
      </c>
      <c r="G231">
        <v>8.5</v>
      </c>
      <c r="H231">
        <v>9</v>
      </c>
      <c r="I231">
        <v>9.5</v>
      </c>
      <c r="J231">
        <f>VLOOKUP(C231,exam!$D$29:$V$359,19,0)</f>
        <v>61</v>
      </c>
      <c r="K231">
        <v>10</v>
      </c>
      <c r="L231" s="43">
        <f t="shared" si="14"/>
        <v>57.333333333333329</v>
      </c>
      <c r="M231" s="43">
        <f t="shared" si="15"/>
        <v>57.333333333333329</v>
      </c>
      <c r="N231" t="str">
        <f t="shared" si="17"/>
        <v>P</v>
      </c>
    </row>
    <row r="232" spans="1:14">
      <c r="A232" t="s">
        <v>47</v>
      </c>
      <c r="B232">
        <v>108044</v>
      </c>
      <c r="C232">
        <v>24092718</v>
      </c>
      <c r="D232" t="s">
        <v>48</v>
      </c>
      <c r="E232" t="s">
        <v>13</v>
      </c>
      <c r="F232" t="s">
        <v>14</v>
      </c>
      <c r="G232">
        <v>9.5</v>
      </c>
      <c r="H232">
        <v>9.5</v>
      </c>
      <c r="I232">
        <v>8.1</v>
      </c>
      <c r="J232">
        <f>VLOOKUP(C232,exam!$D$29:$V$359,19,0)</f>
        <v>130</v>
      </c>
      <c r="K232">
        <v>10</v>
      </c>
      <c r="L232" s="43">
        <f t="shared" si="14"/>
        <v>80.433333333333337</v>
      </c>
      <c r="M232" s="43">
        <f t="shared" si="15"/>
        <v>80.433333333333337</v>
      </c>
      <c r="N232" t="str">
        <f t="shared" si="17"/>
        <v>PR</v>
      </c>
    </row>
    <row r="233" spans="1:14">
      <c r="A233" t="s">
        <v>53</v>
      </c>
      <c r="B233">
        <v>107175</v>
      </c>
      <c r="C233">
        <v>24079577</v>
      </c>
      <c r="D233" t="s">
        <v>54</v>
      </c>
      <c r="E233" t="s">
        <v>13</v>
      </c>
      <c r="F233" t="s">
        <v>14</v>
      </c>
      <c r="G233">
        <v>9.75</v>
      </c>
      <c r="H233">
        <v>9.25</v>
      </c>
      <c r="I233">
        <v>9.5</v>
      </c>
      <c r="J233">
        <f>VLOOKUP(C233,exam!$D$29:$V$359,19,0)</f>
        <v>170.5</v>
      </c>
      <c r="K233">
        <v>10</v>
      </c>
      <c r="L233" s="43">
        <f t="shared" si="14"/>
        <v>95.333333333333343</v>
      </c>
      <c r="M233" s="43">
        <f t="shared" si="15"/>
        <v>95.333333333333343</v>
      </c>
      <c r="N233" t="str">
        <f t="shared" si="17"/>
        <v>HH</v>
      </c>
    </row>
    <row r="234" spans="1:14">
      <c r="A234" t="s">
        <v>59</v>
      </c>
      <c r="B234">
        <v>107614</v>
      </c>
      <c r="C234">
        <v>24086411</v>
      </c>
      <c r="D234" t="s">
        <v>60</v>
      </c>
      <c r="E234" t="s">
        <v>13</v>
      </c>
      <c r="F234" t="s">
        <v>14</v>
      </c>
      <c r="G234">
        <v>7.75</v>
      </c>
      <c r="H234">
        <v>8.25</v>
      </c>
      <c r="I234">
        <v>6</v>
      </c>
      <c r="J234">
        <f>VLOOKUP(C234,exam!$D$29:$V$359,19,0)</f>
        <v>123.5</v>
      </c>
      <c r="K234">
        <v>10</v>
      </c>
      <c r="L234" s="43">
        <f t="shared" si="14"/>
        <v>73.166666666666657</v>
      </c>
      <c r="M234" s="43">
        <f t="shared" si="15"/>
        <v>73.166666666666657</v>
      </c>
      <c r="N234" t="str">
        <f t="shared" si="17"/>
        <v>PR</v>
      </c>
    </row>
    <row r="235" spans="1:14">
      <c r="A235" t="s">
        <v>67</v>
      </c>
      <c r="B235">
        <v>109605</v>
      </c>
      <c r="C235">
        <v>24119765</v>
      </c>
      <c r="D235" t="s">
        <v>68</v>
      </c>
      <c r="E235" t="s">
        <v>13</v>
      </c>
      <c r="F235" t="s">
        <v>14</v>
      </c>
      <c r="G235">
        <v>9</v>
      </c>
      <c r="H235">
        <v>9</v>
      </c>
      <c r="I235">
        <v>10</v>
      </c>
      <c r="J235">
        <f>VLOOKUP(C235,exam!$D$29:$V$359,19,0)</f>
        <v>110</v>
      </c>
      <c r="K235">
        <v>10</v>
      </c>
      <c r="L235" s="43">
        <f t="shared" si="14"/>
        <v>74.666666666666657</v>
      </c>
      <c r="M235" s="43">
        <f t="shared" si="15"/>
        <v>74.666666666666657</v>
      </c>
      <c r="N235" t="str">
        <f t="shared" si="17"/>
        <v>PR</v>
      </c>
    </row>
    <row r="236" spans="1:14">
      <c r="A236" t="s">
        <v>91</v>
      </c>
      <c r="B236">
        <v>113478</v>
      </c>
      <c r="C236">
        <v>24176443</v>
      </c>
      <c r="D236" t="s">
        <v>92</v>
      </c>
      <c r="E236" t="s">
        <v>13</v>
      </c>
      <c r="F236" t="s">
        <v>14</v>
      </c>
      <c r="G236">
        <v>9.5</v>
      </c>
      <c r="H236">
        <v>9.5</v>
      </c>
      <c r="I236">
        <v>10</v>
      </c>
      <c r="J236">
        <v>148</v>
      </c>
      <c r="K236">
        <v>10</v>
      </c>
      <c r="L236" s="43">
        <f t="shared" si="14"/>
        <v>88.333333333333343</v>
      </c>
      <c r="M236" s="43">
        <f t="shared" si="15"/>
        <v>88.333333333333343</v>
      </c>
      <c r="N236" t="str">
        <f t="shared" si="17"/>
        <v>H</v>
      </c>
    </row>
    <row r="237" spans="1:14">
      <c r="A237" t="s">
        <v>105</v>
      </c>
      <c r="B237">
        <v>113497</v>
      </c>
      <c r="C237">
        <v>24176528</v>
      </c>
      <c r="D237" t="s">
        <v>106</v>
      </c>
      <c r="E237" t="s">
        <v>13</v>
      </c>
      <c r="F237" t="s">
        <v>14</v>
      </c>
      <c r="G237">
        <v>9.25</v>
      </c>
      <c r="H237">
        <v>9.75</v>
      </c>
      <c r="I237">
        <v>10</v>
      </c>
      <c r="J237">
        <f>VLOOKUP(C237,exam!$D$29:$V$359,19,0)</f>
        <v>104.5</v>
      </c>
      <c r="K237">
        <v>10</v>
      </c>
      <c r="L237" s="43">
        <f t="shared" si="14"/>
        <v>73.833333333333343</v>
      </c>
      <c r="M237" s="43">
        <f t="shared" si="15"/>
        <v>73.833333333333343</v>
      </c>
      <c r="N237" t="str">
        <f t="shared" si="17"/>
        <v>PR</v>
      </c>
    </row>
    <row r="238" spans="1:14">
      <c r="A238" t="s">
        <v>113</v>
      </c>
      <c r="B238">
        <v>112605</v>
      </c>
      <c r="C238">
        <v>24165189</v>
      </c>
      <c r="D238" t="s">
        <v>114</v>
      </c>
      <c r="E238" t="s">
        <v>13</v>
      </c>
      <c r="F238" t="s">
        <v>14</v>
      </c>
      <c r="G238">
        <v>8</v>
      </c>
      <c r="H238">
        <v>9.75</v>
      </c>
      <c r="I238">
        <v>10</v>
      </c>
      <c r="J238">
        <f>VLOOKUP(C238,exam!$D$29:$V$359,19,0)</f>
        <v>108.5</v>
      </c>
      <c r="K238">
        <v>10</v>
      </c>
      <c r="L238" s="43">
        <f t="shared" si="14"/>
        <v>73.916666666666657</v>
      </c>
      <c r="M238" s="43">
        <f t="shared" si="15"/>
        <v>73.916666666666657</v>
      </c>
      <c r="N238" t="str">
        <f t="shared" si="17"/>
        <v>PR</v>
      </c>
    </row>
    <row r="239" spans="1:14">
      <c r="A239" t="s">
        <v>115</v>
      </c>
      <c r="B239">
        <v>87924</v>
      </c>
      <c r="C239">
        <v>17548114</v>
      </c>
      <c r="D239" t="s">
        <v>116</v>
      </c>
      <c r="E239" t="s">
        <v>13</v>
      </c>
      <c r="F239" t="s">
        <v>14</v>
      </c>
      <c r="G239">
        <v>9.25</v>
      </c>
      <c r="H239">
        <v>9.5</v>
      </c>
      <c r="I239">
        <v>9</v>
      </c>
      <c r="J239">
        <f>VLOOKUP(C239,exam!$D$29:$V$359,19,0)</f>
        <v>136.5</v>
      </c>
      <c r="K239">
        <v>10</v>
      </c>
      <c r="L239" s="43">
        <f t="shared" si="14"/>
        <v>83.25</v>
      </c>
      <c r="M239" s="43">
        <f t="shared" si="15"/>
        <v>83.25</v>
      </c>
      <c r="N239" t="str">
        <f t="shared" si="17"/>
        <v>PR</v>
      </c>
    </row>
    <row r="240" spans="1:14">
      <c r="A240" t="s">
        <v>117</v>
      </c>
      <c r="B240">
        <v>109675</v>
      </c>
      <c r="C240">
        <v>24119901</v>
      </c>
      <c r="D240" t="s">
        <v>118</v>
      </c>
      <c r="E240" t="s">
        <v>13</v>
      </c>
      <c r="F240" t="s">
        <v>14</v>
      </c>
      <c r="G240">
        <v>6.5</v>
      </c>
      <c r="H240">
        <v>3.25</v>
      </c>
      <c r="I240">
        <v>9.5</v>
      </c>
      <c r="J240">
        <f>VLOOKUP(C240,exam!$D$29:$V$359,19,0)</f>
        <v>150</v>
      </c>
      <c r="K240">
        <v>10</v>
      </c>
      <c r="L240" s="43">
        <f t="shared" si="14"/>
        <v>79.25</v>
      </c>
      <c r="M240" s="43">
        <f t="shared" si="15"/>
        <v>79.25</v>
      </c>
      <c r="N240" t="str">
        <f t="shared" si="17"/>
        <v>PR</v>
      </c>
    </row>
    <row r="241" spans="1:14">
      <c r="A241" t="s">
        <v>123</v>
      </c>
      <c r="B241">
        <v>111162</v>
      </c>
      <c r="C241">
        <v>24143786</v>
      </c>
      <c r="D241" t="s">
        <v>124</v>
      </c>
      <c r="E241" t="s">
        <v>13</v>
      </c>
      <c r="F241" t="s">
        <v>14</v>
      </c>
      <c r="G241">
        <v>7</v>
      </c>
      <c r="H241">
        <v>5</v>
      </c>
      <c r="I241">
        <v>9.5</v>
      </c>
      <c r="J241">
        <f>VLOOKUP(C241,exam!$D$29:$V$359,19,0)</f>
        <v>113</v>
      </c>
      <c r="K241">
        <v>10</v>
      </c>
      <c r="L241" s="43">
        <f t="shared" si="14"/>
        <v>69.166666666666657</v>
      </c>
      <c r="M241" s="43">
        <f t="shared" si="15"/>
        <v>69.166666666666657</v>
      </c>
      <c r="N241" t="str">
        <f t="shared" si="17"/>
        <v>PR</v>
      </c>
    </row>
    <row r="242" spans="1:14">
      <c r="A242" t="s">
        <v>135</v>
      </c>
      <c r="B242">
        <v>108246</v>
      </c>
      <c r="C242">
        <v>24097036</v>
      </c>
      <c r="D242" t="s">
        <v>136</v>
      </c>
      <c r="E242" t="s">
        <v>13</v>
      </c>
      <c r="F242" t="s">
        <v>14</v>
      </c>
      <c r="G242">
        <v>3</v>
      </c>
      <c r="H242">
        <v>8.75</v>
      </c>
      <c r="I242">
        <v>8.5</v>
      </c>
      <c r="J242">
        <f>VLOOKUP(C242,exam!$D$29:$V$359,19,0)</f>
        <v>130.5</v>
      </c>
      <c r="K242">
        <v>10</v>
      </c>
      <c r="L242" s="43">
        <f t="shared" si="14"/>
        <v>73.75</v>
      </c>
      <c r="M242" s="43">
        <f t="shared" si="15"/>
        <v>73.75</v>
      </c>
      <c r="N242" t="str">
        <f t="shared" si="17"/>
        <v>PR</v>
      </c>
    </row>
    <row r="243" spans="1:14">
      <c r="A243" t="s">
        <v>141</v>
      </c>
      <c r="B243">
        <v>108055</v>
      </c>
      <c r="C243">
        <v>24092769</v>
      </c>
      <c r="D243" t="s">
        <v>142</v>
      </c>
      <c r="E243" t="s">
        <v>13</v>
      </c>
      <c r="F243" t="s">
        <v>14</v>
      </c>
      <c r="G243">
        <v>9.25</v>
      </c>
      <c r="H243">
        <v>9.5</v>
      </c>
      <c r="I243">
        <v>9.6</v>
      </c>
      <c r="J243">
        <f>VLOOKUP(C243,exam!$D$29:$V$359,19,0)</f>
        <v>130</v>
      </c>
      <c r="K243">
        <v>10</v>
      </c>
      <c r="L243" s="43">
        <f t="shared" si="14"/>
        <v>81.683333333333337</v>
      </c>
      <c r="M243" s="43">
        <f t="shared" si="15"/>
        <v>81.683333333333337</v>
      </c>
      <c r="N243" t="str">
        <f t="shared" si="17"/>
        <v>PR</v>
      </c>
    </row>
    <row r="244" spans="1:14">
      <c r="A244" t="s">
        <v>159</v>
      </c>
      <c r="B244">
        <v>112198</v>
      </c>
      <c r="C244">
        <v>24158542</v>
      </c>
      <c r="D244" t="s">
        <v>160</v>
      </c>
      <c r="E244" t="s">
        <v>13</v>
      </c>
      <c r="F244" t="s">
        <v>14</v>
      </c>
      <c r="G244">
        <v>8.5</v>
      </c>
      <c r="H244">
        <v>8</v>
      </c>
      <c r="I244">
        <v>4.5</v>
      </c>
      <c r="J244">
        <f>VLOOKUP(C244,exam!$D$29:$V$359,19,0)</f>
        <v>107.5</v>
      </c>
      <c r="K244">
        <v>10</v>
      </c>
      <c r="L244" s="43">
        <f t="shared" si="14"/>
        <v>66.833333333333343</v>
      </c>
      <c r="M244" s="43">
        <f t="shared" si="15"/>
        <v>66.833333333333343</v>
      </c>
      <c r="N244" t="str">
        <f t="shared" si="17"/>
        <v>P</v>
      </c>
    </row>
    <row r="245" spans="1:14">
      <c r="A245" t="s">
        <v>189</v>
      </c>
      <c r="B245">
        <v>108006</v>
      </c>
      <c r="C245">
        <v>24092854</v>
      </c>
      <c r="D245" t="s">
        <v>190</v>
      </c>
      <c r="E245" t="s">
        <v>13</v>
      </c>
      <c r="F245" t="s">
        <v>14</v>
      </c>
      <c r="G245">
        <v>9.75</v>
      </c>
      <c r="H245">
        <v>9.5</v>
      </c>
      <c r="I245">
        <v>9.5</v>
      </c>
      <c r="J245">
        <f>VLOOKUP(C245,exam!$D$29:$V$359,19,0)</f>
        <v>128.5</v>
      </c>
      <c r="K245">
        <v>10</v>
      </c>
      <c r="L245" s="43">
        <f t="shared" si="14"/>
        <v>81.583333333333343</v>
      </c>
      <c r="M245" s="43">
        <f t="shared" si="15"/>
        <v>81.583333333333343</v>
      </c>
      <c r="N245" t="str">
        <f t="shared" si="17"/>
        <v>PR</v>
      </c>
    </row>
    <row r="246" spans="1:14">
      <c r="A246" t="s">
        <v>195</v>
      </c>
      <c r="B246">
        <v>104033</v>
      </c>
      <c r="C246">
        <v>24036618</v>
      </c>
      <c r="D246" t="s">
        <v>196</v>
      </c>
      <c r="E246" t="s">
        <v>13</v>
      </c>
      <c r="F246" t="s">
        <v>14</v>
      </c>
      <c r="G246">
        <v>9</v>
      </c>
      <c r="H246">
        <v>9</v>
      </c>
      <c r="I246">
        <v>9</v>
      </c>
      <c r="J246">
        <f>VLOOKUP(C246,exam!$D$29:$V$359,19,0)</f>
        <v>138.5</v>
      </c>
      <c r="K246">
        <v>10</v>
      </c>
      <c r="L246" s="43">
        <f t="shared" si="14"/>
        <v>83.166666666666657</v>
      </c>
      <c r="M246" s="43">
        <f t="shared" si="15"/>
        <v>83.166666666666657</v>
      </c>
      <c r="N246" t="str">
        <f t="shared" si="17"/>
        <v>PR</v>
      </c>
    </row>
    <row r="247" spans="1:14">
      <c r="A247" t="s">
        <v>207</v>
      </c>
      <c r="B247">
        <v>109595</v>
      </c>
      <c r="C247">
        <v>24119714</v>
      </c>
      <c r="D247" t="s">
        <v>208</v>
      </c>
      <c r="E247" t="s">
        <v>13</v>
      </c>
      <c r="F247" t="s">
        <v>14</v>
      </c>
      <c r="G247">
        <v>10</v>
      </c>
      <c r="H247">
        <v>9.5</v>
      </c>
      <c r="I247">
        <v>10</v>
      </c>
      <c r="J247">
        <f>VLOOKUP(C247,exam!$D$29:$V$359,19,0)</f>
        <v>98.5</v>
      </c>
      <c r="K247">
        <v>10</v>
      </c>
      <c r="L247" s="43">
        <f t="shared" si="14"/>
        <v>72.333333333333343</v>
      </c>
      <c r="M247" s="43">
        <f t="shared" si="15"/>
        <v>72.333333333333343</v>
      </c>
      <c r="N247" t="str">
        <f t="shared" si="17"/>
        <v>PR</v>
      </c>
    </row>
    <row r="248" spans="1:14">
      <c r="A248" t="s">
        <v>211</v>
      </c>
      <c r="B248">
        <v>111365</v>
      </c>
      <c r="C248">
        <v>24146897</v>
      </c>
      <c r="D248" t="s">
        <v>212</v>
      </c>
      <c r="E248" t="s">
        <v>13</v>
      </c>
      <c r="F248" t="s">
        <v>14</v>
      </c>
      <c r="G248">
        <v>9.5</v>
      </c>
      <c r="H248">
        <v>9.5</v>
      </c>
      <c r="I248">
        <v>9.5</v>
      </c>
      <c r="J248">
        <f>VLOOKUP(C248,exam!$D$29:$V$359,19,0)</f>
        <v>129.5</v>
      </c>
      <c r="K248">
        <v>10</v>
      </c>
      <c r="L248" s="43">
        <f t="shared" si="14"/>
        <v>81.666666666666657</v>
      </c>
      <c r="M248" s="43">
        <f t="shared" si="15"/>
        <v>81.666666666666657</v>
      </c>
      <c r="N248" t="str">
        <f t="shared" si="17"/>
        <v>PR</v>
      </c>
    </row>
    <row r="249" spans="1:14">
      <c r="A249" t="s">
        <v>219</v>
      </c>
      <c r="B249">
        <v>102988</v>
      </c>
      <c r="C249">
        <v>24036907</v>
      </c>
      <c r="D249" t="s">
        <v>220</v>
      </c>
      <c r="E249" t="s">
        <v>13</v>
      </c>
      <c r="F249" t="s">
        <v>14</v>
      </c>
      <c r="G249">
        <v>9.75</v>
      </c>
      <c r="H249">
        <v>9.5</v>
      </c>
      <c r="I249">
        <v>10</v>
      </c>
      <c r="J249">
        <f>VLOOKUP(C249,exam!$D$29:$V$359,19,0)</f>
        <v>158.5</v>
      </c>
      <c r="K249">
        <v>10</v>
      </c>
      <c r="L249" s="43">
        <f t="shared" si="14"/>
        <v>92.083333333333343</v>
      </c>
      <c r="M249" s="43">
        <f t="shared" si="15"/>
        <v>92.083333333333343</v>
      </c>
      <c r="N249" t="str">
        <f t="shared" si="17"/>
        <v>HH</v>
      </c>
    </row>
    <row r="250" spans="1:14">
      <c r="A250" t="s">
        <v>257</v>
      </c>
      <c r="B250">
        <v>103051</v>
      </c>
      <c r="C250">
        <v>24011917</v>
      </c>
      <c r="D250" t="s">
        <v>258</v>
      </c>
      <c r="E250" t="s">
        <v>13</v>
      </c>
      <c r="F250" t="s">
        <v>14</v>
      </c>
      <c r="G250">
        <v>9.75</v>
      </c>
      <c r="H250">
        <v>10</v>
      </c>
      <c r="I250">
        <v>10</v>
      </c>
      <c r="J250">
        <f>VLOOKUP(C250,exam!$D$29:$V$359,19,0)</f>
        <v>150.5</v>
      </c>
      <c r="K250">
        <v>10</v>
      </c>
      <c r="L250" s="43">
        <f t="shared" si="14"/>
        <v>89.916666666666657</v>
      </c>
      <c r="M250" s="43">
        <f t="shared" si="15"/>
        <v>89.916666666666657</v>
      </c>
      <c r="N250" t="str">
        <f t="shared" si="17"/>
        <v>H</v>
      </c>
    </row>
    <row r="251" spans="1:14">
      <c r="A251" t="s">
        <v>261</v>
      </c>
      <c r="B251">
        <v>102985</v>
      </c>
      <c r="C251">
        <v>24035853</v>
      </c>
      <c r="D251" t="s">
        <v>262</v>
      </c>
      <c r="E251" t="s">
        <v>13</v>
      </c>
      <c r="F251" t="s">
        <v>14</v>
      </c>
      <c r="G251">
        <v>8.75</v>
      </c>
      <c r="H251">
        <v>9.75</v>
      </c>
      <c r="I251">
        <v>10</v>
      </c>
      <c r="J251">
        <f>VLOOKUP(C251,exam!$D$29:$V$359,19,0)</f>
        <v>146</v>
      </c>
      <c r="K251">
        <v>10</v>
      </c>
      <c r="L251" s="43">
        <f t="shared" si="14"/>
        <v>87.166666666666657</v>
      </c>
      <c r="M251" s="43">
        <f t="shared" si="15"/>
        <v>87.166666666666657</v>
      </c>
      <c r="N251" t="str">
        <f t="shared" si="17"/>
        <v>H</v>
      </c>
    </row>
    <row r="252" spans="1:14">
      <c r="A252" t="s">
        <v>271</v>
      </c>
      <c r="B252">
        <v>24357</v>
      </c>
      <c r="C252">
        <v>17136119</v>
      </c>
      <c r="D252" t="s">
        <v>272</v>
      </c>
      <c r="E252" t="s">
        <v>13</v>
      </c>
      <c r="F252" t="s">
        <v>14</v>
      </c>
      <c r="G252">
        <v>10</v>
      </c>
      <c r="H252">
        <v>9.75</v>
      </c>
      <c r="I252">
        <v>10</v>
      </c>
      <c r="J252">
        <f>VLOOKUP(C252,exam!$D$29:$V$359,19,0)</f>
        <v>171</v>
      </c>
      <c r="K252">
        <v>10</v>
      </c>
      <c r="L252" s="43">
        <f t="shared" si="14"/>
        <v>96.75</v>
      </c>
      <c r="M252" s="43">
        <f t="shared" si="15"/>
        <v>96.75</v>
      </c>
      <c r="N252" t="str">
        <f t="shared" si="17"/>
        <v>HH</v>
      </c>
    </row>
    <row r="253" spans="1:14">
      <c r="A253" t="s">
        <v>275</v>
      </c>
      <c r="B253">
        <v>104619</v>
      </c>
      <c r="C253">
        <v>24035870</v>
      </c>
      <c r="D253" t="s">
        <v>276</v>
      </c>
      <c r="E253" t="s">
        <v>13</v>
      </c>
      <c r="F253" t="s">
        <v>14</v>
      </c>
      <c r="G253">
        <v>10</v>
      </c>
      <c r="H253">
        <v>9.5</v>
      </c>
      <c r="I253">
        <v>10</v>
      </c>
      <c r="J253">
        <f>VLOOKUP(C253,exam!$D$29:$V$359,19,0)</f>
        <v>140.5</v>
      </c>
      <c r="K253">
        <v>10</v>
      </c>
      <c r="L253" s="43">
        <f t="shared" si="14"/>
        <v>86.333333333333343</v>
      </c>
      <c r="M253" s="43">
        <f t="shared" si="15"/>
        <v>86.333333333333343</v>
      </c>
      <c r="N253" t="str">
        <f t="shared" si="17"/>
        <v>H</v>
      </c>
    </row>
    <row r="254" spans="1:14">
      <c r="A254" t="s">
        <v>291</v>
      </c>
      <c r="B254">
        <v>107655</v>
      </c>
      <c r="C254">
        <v>24086360</v>
      </c>
      <c r="D254" t="s">
        <v>292</v>
      </c>
      <c r="E254" t="s">
        <v>13</v>
      </c>
      <c r="F254" t="s">
        <v>14</v>
      </c>
      <c r="G254">
        <v>7.75</v>
      </c>
      <c r="H254">
        <v>5</v>
      </c>
      <c r="I254">
        <v>10</v>
      </c>
      <c r="J254">
        <f>VLOOKUP(C254,exam!$D$29:$V$359,19,0)</f>
        <v>108</v>
      </c>
      <c r="K254">
        <v>10</v>
      </c>
      <c r="L254" s="43">
        <f t="shared" si="14"/>
        <v>68.75</v>
      </c>
      <c r="M254" s="43">
        <f t="shared" si="15"/>
        <v>68.75</v>
      </c>
      <c r="N254" t="str">
        <f t="shared" si="17"/>
        <v>PR</v>
      </c>
    </row>
    <row r="255" spans="1:14">
      <c r="A255" t="s">
        <v>303</v>
      </c>
      <c r="B255">
        <v>103958</v>
      </c>
      <c r="C255">
        <v>24032436</v>
      </c>
      <c r="D255" t="s">
        <v>304</v>
      </c>
      <c r="E255" t="s">
        <v>13</v>
      </c>
      <c r="F255" t="s">
        <v>14</v>
      </c>
      <c r="G255">
        <v>8.75</v>
      </c>
      <c r="H255">
        <v>7.5</v>
      </c>
      <c r="I255">
        <v>9.5</v>
      </c>
      <c r="J255">
        <f>VLOOKUP(C255,exam!$D$29:$V$359,19,0)</f>
        <v>119.5</v>
      </c>
      <c r="K255">
        <v>10</v>
      </c>
      <c r="L255" s="43">
        <f t="shared" si="14"/>
        <v>75.583333333333343</v>
      </c>
      <c r="M255" s="43">
        <f t="shared" si="15"/>
        <v>75.583333333333343</v>
      </c>
      <c r="N255" t="str">
        <f t="shared" si="17"/>
        <v>PR</v>
      </c>
    </row>
    <row r="256" spans="1:14">
      <c r="A256" t="s">
        <v>305</v>
      </c>
      <c r="B256">
        <v>104002</v>
      </c>
      <c r="C256">
        <v>24036584</v>
      </c>
      <c r="D256" t="s">
        <v>306</v>
      </c>
      <c r="E256" t="s">
        <v>13</v>
      </c>
      <c r="F256" t="s">
        <v>14</v>
      </c>
      <c r="G256">
        <v>9.75</v>
      </c>
      <c r="H256">
        <v>9</v>
      </c>
      <c r="I256">
        <v>9</v>
      </c>
      <c r="J256">
        <f>VLOOKUP(C256,exam!$D$29:$V$359,19,0)</f>
        <v>129.5</v>
      </c>
      <c r="K256">
        <v>10</v>
      </c>
      <c r="L256" s="43">
        <f t="shared" si="14"/>
        <v>80.916666666666657</v>
      </c>
      <c r="M256" s="43">
        <f t="shared" si="15"/>
        <v>80.916666666666657</v>
      </c>
      <c r="N256" t="str">
        <f t="shared" si="17"/>
        <v>PR</v>
      </c>
    </row>
    <row r="257" spans="1:14">
      <c r="A257" t="s">
        <v>313</v>
      </c>
      <c r="B257">
        <v>103508</v>
      </c>
      <c r="C257">
        <v>24036057</v>
      </c>
      <c r="D257" t="s">
        <v>314</v>
      </c>
      <c r="E257" t="s">
        <v>13</v>
      </c>
      <c r="F257" t="s">
        <v>14</v>
      </c>
      <c r="G257">
        <v>10</v>
      </c>
      <c r="H257">
        <v>8.5</v>
      </c>
      <c r="I257">
        <v>9.8000000000000007</v>
      </c>
      <c r="J257">
        <f>VLOOKUP(C257,exam!$D$29:$V$359,19,0)</f>
        <v>135.5</v>
      </c>
      <c r="K257">
        <v>10</v>
      </c>
      <c r="L257" s="43">
        <f t="shared" si="14"/>
        <v>83.466666666666669</v>
      </c>
      <c r="M257" s="43">
        <f t="shared" si="15"/>
        <v>83.466666666666669</v>
      </c>
      <c r="N257" t="str">
        <f t="shared" si="17"/>
        <v>PR</v>
      </c>
    </row>
    <row r="258" spans="1:14">
      <c r="A258" t="s">
        <v>315</v>
      </c>
      <c r="B258">
        <v>112784</v>
      </c>
      <c r="C258">
        <v>24167246</v>
      </c>
      <c r="D258" t="s">
        <v>316</v>
      </c>
      <c r="E258" t="s">
        <v>13</v>
      </c>
      <c r="F258" t="s">
        <v>14</v>
      </c>
      <c r="G258">
        <v>9.75</v>
      </c>
      <c r="H258">
        <v>9.25</v>
      </c>
      <c r="I258">
        <v>9</v>
      </c>
      <c r="J258">
        <f>VLOOKUP(C258,exam!$D$29:$V$359,19,0)</f>
        <v>123.5</v>
      </c>
      <c r="K258">
        <v>10</v>
      </c>
      <c r="L258" s="43">
        <f t="shared" si="14"/>
        <v>79.166666666666657</v>
      </c>
      <c r="M258" s="43">
        <f t="shared" si="15"/>
        <v>79.166666666666657</v>
      </c>
      <c r="N258" t="str">
        <f t="shared" si="17"/>
        <v>PR</v>
      </c>
    </row>
    <row r="259" spans="1:14">
      <c r="A259" t="s">
        <v>325</v>
      </c>
      <c r="B259">
        <v>109872</v>
      </c>
      <c r="C259">
        <v>24122621</v>
      </c>
      <c r="D259" t="s">
        <v>326</v>
      </c>
      <c r="E259" t="s">
        <v>13</v>
      </c>
      <c r="F259" t="s">
        <v>14</v>
      </c>
      <c r="G259">
        <v>9.25</v>
      </c>
      <c r="H259">
        <v>9.75</v>
      </c>
      <c r="I259">
        <v>9.5</v>
      </c>
      <c r="J259">
        <f>VLOOKUP(C259,exam!$D$29:$V$359,19,0)</f>
        <v>136.5</v>
      </c>
      <c r="K259">
        <v>10</v>
      </c>
      <c r="L259" s="43">
        <f t="shared" si="14"/>
        <v>84</v>
      </c>
      <c r="M259" s="43">
        <f t="shared" si="15"/>
        <v>84</v>
      </c>
      <c r="N259" t="str">
        <f t="shared" ref="N259:N290" si="18">IF(M259="","",IF(M259&gt;=$Q$3,$P$3,IF(M259&gt;=$Q$4,$P$4,IF(M259&gt;=$Q$5,$P$5,"P"))))</f>
        <v>PR</v>
      </c>
    </row>
    <row r="260" spans="1:14">
      <c r="A260" t="s">
        <v>333</v>
      </c>
      <c r="B260">
        <v>109681</v>
      </c>
      <c r="C260">
        <v>24119850</v>
      </c>
      <c r="D260" t="s">
        <v>334</v>
      </c>
      <c r="E260" t="s">
        <v>13</v>
      </c>
      <c r="F260" t="s">
        <v>14</v>
      </c>
      <c r="G260">
        <v>8.75</v>
      </c>
      <c r="H260">
        <v>9.5</v>
      </c>
      <c r="I260">
        <v>10</v>
      </c>
      <c r="J260">
        <f>VLOOKUP(C260,exam!$D$29:$V$359,19,0)</f>
        <v>125.5</v>
      </c>
      <c r="K260">
        <v>10</v>
      </c>
      <c r="L260" s="43">
        <f t="shared" ref="L260:L323" si="19">SUM(K260,I260,H260,G260)+J260/3</f>
        <v>80.083333333333343</v>
      </c>
      <c r="M260" s="43">
        <f t="shared" ref="M260:M323" si="20">IF(ISERROR(L260),"",L260)</f>
        <v>80.083333333333343</v>
      </c>
      <c r="N260" t="str">
        <f t="shared" si="18"/>
        <v>PR</v>
      </c>
    </row>
    <row r="261" spans="1:14">
      <c r="A261" t="s">
        <v>335</v>
      </c>
      <c r="B261">
        <v>113847</v>
      </c>
      <c r="C261">
        <v>24182308</v>
      </c>
      <c r="D261" t="s">
        <v>336</v>
      </c>
      <c r="E261" t="s">
        <v>13</v>
      </c>
      <c r="F261" t="s">
        <v>14</v>
      </c>
      <c r="G261">
        <v>9.5</v>
      </c>
      <c r="H261">
        <v>9.75</v>
      </c>
      <c r="I261">
        <v>9.6</v>
      </c>
      <c r="J261">
        <f>VLOOKUP(C261,exam!$D$29:$V$359,19,0)</f>
        <v>62</v>
      </c>
      <c r="K261">
        <v>10</v>
      </c>
      <c r="L261" s="43">
        <f t="shared" si="19"/>
        <v>59.516666666666666</v>
      </c>
      <c r="M261" s="43">
        <f t="shared" si="20"/>
        <v>59.516666666666666</v>
      </c>
      <c r="N261" t="str">
        <f t="shared" si="18"/>
        <v>P</v>
      </c>
    </row>
    <row r="262" spans="1:14">
      <c r="A262" t="s">
        <v>337</v>
      </c>
      <c r="B262">
        <v>113840</v>
      </c>
      <c r="C262">
        <v>24182257</v>
      </c>
      <c r="D262" t="s">
        <v>338</v>
      </c>
      <c r="E262" t="s">
        <v>13</v>
      </c>
      <c r="F262" t="s">
        <v>14</v>
      </c>
      <c r="G262">
        <v>9</v>
      </c>
      <c r="H262">
        <v>9</v>
      </c>
      <c r="I262">
        <v>9.6</v>
      </c>
      <c r="J262">
        <f>VLOOKUP(C262,exam!$D$29:$V$359,19,0)</f>
        <v>121</v>
      </c>
      <c r="K262">
        <v>10</v>
      </c>
      <c r="L262" s="43">
        <f t="shared" si="19"/>
        <v>77.933333333333337</v>
      </c>
      <c r="M262" s="43">
        <f t="shared" si="20"/>
        <v>77.933333333333337</v>
      </c>
      <c r="N262" t="str">
        <f t="shared" si="18"/>
        <v>PR</v>
      </c>
    </row>
    <row r="263" spans="1:14">
      <c r="A263" t="s">
        <v>341</v>
      </c>
      <c r="B263">
        <v>104341</v>
      </c>
      <c r="C263">
        <v>24036159</v>
      </c>
      <c r="D263" t="s">
        <v>342</v>
      </c>
      <c r="E263" t="s">
        <v>13</v>
      </c>
      <c r="F263" t="s">
        <v>14</v>
      </c>
      <c r="G263">
        <v>8.5</v>
      </c>
      <c r="H263">
        <v>8.5</v>
      </c>
      <c r="I263">
        <v>10</v>
      </c>
      <c r="J263">
        <f>VLOOKUP(C263,exam!$D$29:$V$359,19,0)</f>
        <v>76</v>
      </c>
      <c r="K263">
        <v>10</v>
      </c>
      <c r="L263" s="43">
        <f t="shared" si="19"/>
        <v>62.333333333333329</v>
      </c>
      <c r="M263" s="43">
        <f t="shared" si="20"/>
        <v>62.333333333333329</v>
      </c>
      <c r="N263" t="str">
        <f t="shared" si="18"/>
        <v>P</v>
      </c>
    </row>
    <row r="264" spans="1:14">
      <c r="A264" t="s">
        <v>351</v>
      </c>
      <c r="B264">
        <v>111701</v>
      </c>
      <c r="C264">
        <v>24151249</v>
      </c>
      <c r="D264" t="s">
        <v>352</v>
      </c>
      <c r="E264" t="s">
        <v>13</v>
      </c>
      <c r="F264" t="s">
        <v>14</v>
      </c>
      <c r="G264">
        <v>8.75</v>
      </c>
      <c r="H264">
        <v>8.5</v>
      </c>
      <c r="I264">
        <v>9.5</v>
      </c>
      <c r="J264">
        <f>VLOOKUP(C264,exam!$D$29:$V$359,19,0)</f>
        <v>113</v>
      </c>
      <c r="K264">
        <v>10</v>
      </c>
      <c r="L264" s="43">
        <f t="shared" si="19"/>
        <v>74.416666666666657</v>
      </c>
      <c r="M264" s="43">
        <f t="shared" si="20"/>
        <v>74.416666666666657</v>
      </c>
      <c r="N264" t="str">
        <f t="shared" si="18"/>
        <v>PR</v>
      </c>
    </row>
    <row r="265" spans="1:14">
      <c r="A265" t="s">
        <v>361</v>
      </c>
      <c r="B265">
        <v>111096</v>
      </c>
      <c r="C265">
        <v>24142188</v>
      </c>
      <c r="D265" t="s">
        <v>362</v>
      </c>
      <c r="E265" t="s">
        <v>13</v>
      </c>
      <c r="F265" t="s">
        <v>14</v>
      </c>
      <c r="G265">
        <v>10</v>
      </c>
      <c r="H265">
        <v>8</v>
      </c>
      <c r="I265">
        <v>10</v>
      </c>
      <c r="J265">
        <f>VLOOKUP(C265,exam!$D$29:$V$359,19,0)</f>
        <v>137.5</v>
      </c>
      <c r="K265">
        <v>10</v>
      </c>
      <c r="L265" s="43">
        <f t="shared" si="19"/>
        <v>83.833333333333343</v>
      </c>
      <c r="M265" s="43">
        <f t="shared" si="20"/>
        <v>83.833333333333343</v>
      </c>
      <c r="N265" t="str">
        <f t="shared" si="18"/>
        <v>PR</v>
      </c>
    </row>
    <row r="266" spans="1:14">
      <c r="A266" t="s">
        <v>363</v>
      </c>
      <c r="B266">
        <v>86155</v>
      </c>
      <c r="C266">
        <v>17520472</v>
      </c>
      <c r="D266" t="s">
        <v>364</v>
      </c>
      <c r="E266" t="s">
        <v>13</v>
      </c>
      <c r="F266" t="s">
        <v>14</v>
      </c>
      <c r="G266">
        <v>10</v>
      </c>
      <c r="H266">
        <v>10</v>
      </c>
      <c r="I266">
        <v>9</v>
      </c>
      <c r="J266">
        <f>VLOOKUP(C266,exam!$D$29:$V$359,19,0)</f>
        <v>120.5</v>
      </c>
      <c r="K266">
        <v>10</v>
      </c>
      <c r="L266" s="43">
        <f t="shared" si="19"/>
        <v>79.166666666666657</v>
      </c>
      <c r="M266" s="43">
        <f t="shared" si="20"/>
        <v>79.166666666666657</v>
      </c>
      <c r="N266" t="str">
        <f t="shared" si="18"/>
        <v>PR</v>
      </c>
    </row>
    <row r="267" spans="1:14">
      <c r="A267" t="s">
        <v>373</v>
      </c>
      <c r="B267">
        <v>109961</v>
      </c>
      <c r="C267">
        <v>24122995</v>
      </c>
      <c r="D267" t="s">
        <v>374</v>
      </c>
      <c r="E267" t="s">
        <v>13</v>
      </c>
      <c r="F267" t="s">
        <v>14</v>
      </c>
      <c r="G267">
        <v>8.5</v>
      </c>
      <c r="H267">
        <v>9.25</v>
      </c>
      <c r="I267">
        <v>10</v>
      </c>
      <c r="J267">
        <f>VLOOKUP(C267,exam!$D$29:$V$359,19,0)</f>
        <v>118.5</v>
      </c>
      <c r="K267">
        <v>10</v>
      </c>
      <c r="L267" s="43">
        <f t="shared" si="19"/>
        <v>77.25</v>
      </c>
      <c r="M267" s="43">
        <f t="shared" si="20"/>
        <v>77.25</v>
      </c>
      <c r="N267" t="str">
        <f t="shared" si="18"/>
        <v>PR</v>
      </c>
    </row>
    <row r="268" spans="1:14">
      <c r="A268" t="s">
        <v>377</v>
      </c>
      <c r="B268">
        <v>111720</v>
      </c>
      <c r="C268">
        <v>24151181</v>
      </c>
      <c r="D268" t="s">
        <v>378</v>
      </c>
      <c r="E268" t="s">
        <v>13</v>
      </c>
      <c r="F268" t="s">
        <v>14</v>
      </c>
      <c r="G268">
        <v>8.75</v>
      </c>
      <c r="H268">
        <v>10</v>
      </c>
      <c r="I268">
        <v>10</v>
      </c>
      <c r="J268">
        <f>VLOOKUP(C268,exam!$D$29:$V$359,19,0)</f>
        <v>147</v>
      </c>
      <c r="K268">
        <v>10</v>
      </c>
      <c r="L268" s="43">
        <f t="shared" si="19"/>
        <v>87.75</v>
      </c>
      <c r="M268" s="43">
        <f t="shared" si="20"/>
        <v>87.75</v>
      </c>
      <c r="N268" t="str">
        <f t="shared" si="18"/>
        <v>H</v>
      </c>
    </row>
    <row r="269" spans="1:14">
      <c r="A269" t="s">
        <v>379</v>
      </c>
      <c r="B269">
        <v>109894</v>
      </c>
      <c r="C269">
        <v>24122349</v>
      </c>
      <c r="D269" t="s">
        <v>380</v>
      </c>
      <c r="E269" t="s">
        <v>13</v>
      </c>
      <c r="F269" t="s">
        <v>14</v>
      </c>
      <c r="G269">
        <v>10</v>
      </c>
      <c r="H269">
        <v>9.5</v>
      </c>
      <c r="I269">
        <v>10</v>
      </c>
      <c r="J269">
        <f>VLOOKUP(C269,exam!$D$29:$V$359,19,0)</f>
        <v>131</v>
      </c>
      <c r="K269">
        <v>10</v>
      </c>
      <c r="L269" s="43">
        <f t="shared" si="19"/>
        <v>83.166666666666657</v>
      </c>
      <c r="M269" s="43">
        <f t="shared" si="20"/>
        <v>83.166666666666657</v>
      </c>
      <c r="N269" t="str">
        <f t="shared" si="18"/>
        <v>PR</v>
      </c>
    </row>
    <row r="270" spans="1:14">
      <c r="A270" t="s">
        <v>403</v>
      </c>
      <c r="B270">
        <v>109878</v>
      </c>
      <c r="C270">
        <v>24122893</v>
      </c>
      <c r="D270" t="s">
        <v>404</v>
      </c>
      <c r="E270" t="s">
        <v>13</v>
      </c>
      <c r="F270" t="s">
        <v>14</v>
      </c>
      <c r="G270">
        <v>9</v>
      </c>
      <c r="H270">
        <v>8.75</v>
      </c>
      <c r="I270">
        <v>10</v>
      </c>
      <c r="J270">
        <f>VLOOKUP(C270,exam!$D$29:$V$359,19,0)</f>
        <v>136</v>
      </c>
      <c r="K270">
        <v>10</v>
      </c>
      <c r="L270" s="43">
        <f t="shared" si="19"/>
        <v>83.083333333333343</v>
      </c>
      <c r="M270" s="43">
        <f t="shared" si="20"/>
        <v>83.083333333333343</v>
      </c>
      <c r="N270" t="str">
        <f t="shared" si="18"/>
        <v>PR</v>
      </c>
    </row>
    <row r="271" spans="1:14">
      <c r="A271" t="s">
        <v>427</v>
      </c>
      <c r="B271">
        <v>109391</v>
      </c>
      <c r="C271">
        <v>24115855</v>
      </c>
      <c r="D271" t="s">
        <v>428</v>
      </c>
      <c r="E271" t="s">
        <v>13</v>
      </c>
      <c r="F271" t="s">
        <v>14</v>
      </c>
      <c r="G271">
        <v>9</v>
      </c>
      <c r="H271">
        <v>10</v>
      </c>
      <c r="I271">
        <v>10</v>
      </c>
      <c r="J271">
        <f>VLOOKUP(C271,exam!$D$29:$V$359,19,0)</f>
        <v>150</v>
      </c>
      <c r="K271">
        <v>10</v>
      </c>
      <c r="L271" s="43">
        <f t="shared" si="19"/>
        <v>89</v>
      </c>
      <c r="M271" s="43">
        <f t="shared" si="20"/>
        <v>89</v>
      </c>
      <c r="N271" t="str">
        <f t="shared" si="18"/>
        <v>H</v>
      </c>
    </row>
    <row r="272" spans="1:14">
      <c r="A272" t="s">
        <v>429</v>
      </c>
      <c r="B272">
        <v>87281</v>
      </c>
      <c r="C272">
        <v>17539835</v>
      </c>
      <c r="D272" t="s">
        <v>430</v>
      </c>
      <c r="E272" t="s">
        <v>13</v>
      </c>
      <c r="F272" t="s">
        <v>14</v>
      </c>
      <c r="G272">
        <v>9.5</v>
      </c>
      <c r="H272">
        <v>8</v>
      </c>
      <c r="I272">
        <v>9</v>
      </c>
      <c r="J272">
        <f>VLOOKUP(C272,exam!$D$29:$V$359,19,0)</f>
        <v>146</v>
      </c>
      <c r="K272">
        <v>10</v>
      </c>
      <c r="L272" s="43">
        <f t="shared" si="19"/>
        <v>85.166666666666657</v>
      </c>
      <c r="M272" s="43">
        <f t="shared" si="20"/>
        <v>85.166666666666657</v>
      </c>
      <c r="N272" t="str">
        <f t="shared" si="18"/>
        <v>PR</v>
      </c>
    </row>
    <row r="273" spans="1:14">
      <c r="A273" t="s">
        <v>433</v>
      </c>
      <c r="B273">
        <v>104603</v>
      </c>
      <c r="C273">
        <v>24035972</v>
      </c>
      <c r="D273" t="s">
        <v>434</v>
      </c>
      <c r="E273" t="s">
        <v>13</v>
      </c>
      <c r="F273" t="s">
        <v>14</v>
      </c>
      <c r="G273">
        <v>9.25</v>
      </c>
      <c r="H273">
        <v>9.75</v>
      </c>
      <c r="I273">
        <v>10</v>
      </c>
      <c r="J273">
        <f>VLOOKUP(C273,exam!$D$29:$V$359,19,0)</f>
        <v>102.5</v>
      </c>
      <c r="K273">
        <v>10</v>
      </c>
      <c r="L273" s="43">
        <f t="shared" si="19"/>
        <v>73.166666666666657</v>
      </c>
      <c r="M273" s="43">
        <f t="shared" si="20"/>
        <v>73.166666666666657</v>
      </c>
      <c r="N273" t="str">
        <f t="shared" si="18"/>
        <v>PR</v>
      </c>
    </row>
    <row r="274" spans="1:14">
      <c r="A274" t="s">
        <v>441</v>
      </c>
      <c r="B274">
        <v>111179</v>
      </c>
      <c r="C274">
        <v>24143752</v>
      </c>
      <c r="D274" t="s">
        <v>442</v>
      </c>
      <c r="E274" t="s">
        <v>13</v>
      </c>
      <c r="F274" t="s">
        <v>14</v>
      </c>
      <c r="G274">
        <v>8.75</v>
      </c>
      <c r="H274">
        <v>7.25</v>
      </c>
      <c r="I274">
        <v>10</v>
      </c>
      <c r="J274">
        <f>VLOOKUP(C274,exam!$D$29:$V$359,19,0)</f>
        <v>83</v>
      </c>
      <c r="K274">
        <v>10</v>
      </c>
      <c r="L274" s="43">
        <f t="shared" si="19"/>
        <v>63.666666666666671</v>
      </c>
      <c r="M274" s="43">
        <f t="shared" si="20"/>
        <v>63.666666666666671</v>
      </c>
      <c r="N274" t="str">
        <f t="shared" si="18"/>
        <v>P</v>
      </c>
    </row>
    <row r="275" spans="1:14">
      <c r="A275" t="s">
        <v>461</v>
      </c>
      <c r="B275">
        <v>113867</v>
      </c>
      <c r="C275">
        <v>24182291</v>
      </c>
      <c r="D275" t="s">
        <v>462</v>
      </c>
      <c r="E275" t="s">
        <v>13</v>
      </c>
      <c r="F275" t="s">
        <v>14</v>
      </c>
      <c r="G275">
        <v>9.5</v>
      </c>
      <c r="H275">
        <v>8.25</v>
      </c>
      <c r="I275">
        <v>9.5</v>
      </c>
      <c r="J275">
        <f>VLOOKUP(C275,exam!$D$29:$V$359,19,0)</f>
        <v>89.5</v>
      </c>
      <c r="K275">
        <v>10</v>
      </c>
      <c r="L275" s="43">
        <f t="shared" si="19"/>
        <v>67.083333333333329</v>
      </c>
      <c r="M275" s="43">
        <f t="shared" si="20"/>
        <v>67.083333333333329</v>
      </c>
      <c r="N275" t="str">
        <f t="shared" si="18"/>
        <v>P</v>
      </c>
    </row>
    <row r="276" spans="1:14">
      <c r="A276" t="s">
        <v>469</v>
      </c>
      <c r="B276">
        <v>108256</v>
      </c>
      <c r="C276">
        <v>24096968</v>
      </c>
      <c r="D276" t="s">
        <v>470</v>
      </c>
      <c r="E276" t="s">
        <v>13</v>
      </c>
      <c r="F276" t="s">
        <v>14</v>
      </c>
      <c r="G276">
        <v>9.25</v>
      </c>
      <c r="H276">
        <v>9.25</v>
      </c>
      <c r="I276">
        <v>10</v>
      </c>
      <c r="J276">
        <f>VLOOKUP(C276,exam!$D$29:$V$359,19,0)</f>
        <v>141</v>
      </c>
      <c r="K276">
        <v>10</v>
      </c>
      <c r="L276" s="43">
        <f t="shared" si="19"/>
        <v>85.5</v>
      </c>
      <c r="M276" s="43">
        <f t="shared" si="20"/>
        <v>85.5</v>
      </c>
      <c r="N276" t="str">
        <f t="shared" si="18"/>
        <v>H</v>
      </c>
    </row>
    <row r="277" spans="1:14">
      <c r="A277" t="s">
        <v>481</v>
      </c>
      <c r="B277">
        <v>112209</v>
      </c>
      <c r="C277">
        <v>24158338</v>
      </c>
      <c r="D277" t="s">
        <v>482</v>
      </c>
      <c r="E277" t="s">
        <v>13</v>
      </c>
      <c r="F277" t="s">
        <v>14</v>
      </c>
      <c r="G277">
        <v>9</v>
      </c>
      <c r="H277">
        <v>10</v>
      </c>
      <c r="I277">
        <v>9.5</v>
      </c>
      <c r="J277">
        <f>VLOOKUP(C277,exam!$D$29:$V$359,19,0)</f>
        <v>140.5</v>
      </c>
      <c r="K277">
        <v>10</v>
      </c>
      <c r="L277" s="43">
        <f t="shared" si="19"/>
        <v>85.333333333333343</v>
      </c>
      <c r="M277" s="43">
        <f t="shared" si="20"/>
        <v>85.333333333333343</v>
      </c>
      <c r="N277" t="str">
        <f t="shared" si="18"/>
        <v>H</v>
      </c>
    </row>
    <row r="278" spans="1:14">
      <c r="A278" t="s">
        <v>495</v>
      </c>
      <c r="B278">
        <v>103407</v>
      </c>
      <c r="C278">
        <v>24036839</v>
      </c>
      <c r="D278" t="s">
        <v>496</v>
      </c>
      <c r="E278" t="s">
        <v>13</v>
      </c>
      <c r="F278" t="s">
        <v>14</v>
      </c>
      <c r="G278">
        <v>8.75</v>
      </c>
      <c r="H278">
        <v>8.5</v>
      </c>
      <c r="I278">
        <v>10</v>
      </c>
      <c r="J278">
        <f>VLOOKUP(C278,exam!$D$29:$V$359,19,0)</f>
        <v>154.5</v>
      </c>
      <c r="K278">
        <v>10</v>
      </c>
      <c r="L278" s="43">
        <f t="shared" si="19"/>
        <v>88.75</v>
      </c>
      <c r="M278" s="43">
        <f t="shared" si="20"/>
        <v>88.75</v>
      </c>
      <c r="N278" t="str">
        <f t="shared" si="18"/>
        <v>H</v>
      </c>
    </row>
    <row r="279" spans="1:14">
      <c r="A279" t="s">
        <v>497</v>
      </c>
      <c r="B279">
        <v>1445</v>
      </c>
      <c r="C279">
        <v>14801293</v>
      </c>
      <c r="D279" t="s">
        <v>498</v>
      </c>
      <c r="E279" t="s">
        <v>13</v>
      </c>
      <c r="F279" t="s">
        <v>14</v>
      </c>
      <c r="G279">
        <v>10</v>
      </c>
      <c r="H279">
        <v>9.5</v>
      </c>
      <c r="I279">
        <v>10</v>
      </c>
      <c r="J279">
        <f>VLOOKUP(C279,exam!$D$29:$V$359,19,0)</f>
        <v>150.5</v>
      </c>
      <c r="K279">
        <v>10</v>
      </c>
      <c r="L279" s="43">
        <f t="shared" si="19"/>
        <v>89.666666666666657</v>
      </c>
      <c r="M279" s="43">
        <f t="shared" si="20"/>
        <v>89.666666666666657</v>
      </c>
      <c r="N279" t="str">
        <f t="shared" si="18"/>
        <v>H</v>
      </c>
    </row>
    <row r="280" spans="1:14">
      <c r="A280" t="s">
        <v>501</v>
      </c>
      <c r="B280">
        <v>104208</v>
      </c>
      <c r="C280">
        <v>24036686</v>
      </c>
      <c r="D280" t="s">
        <v>502</v>
      </c>
      <c r="E280" t="s">
        <v>13</v>
      </c>
      <c r="F280" t="s">
        <v>14</v>
      </c>
      <c r="G280">
        <v>7.75</v>
      </c>
      <c r="H280">
        <v>9.75</v>
      </c>
      <c r="I280">
        <v>10</v>
      </c>
      <c r="J280">
        <f>VLOOKUP(C280,exam!$D$29:$V$359,19,0)</f>
        <v>150.5</v>
      </c>
      <c r="K280">
        <v>10</v>
      </c>
      <c r="L280" s="43">
        <f t="shared" si="19"/>
        <v>87.666666666666657</v>
      </c>
      <c r="M280" s="43">
        <f t="shared" si="20"/>
        <v>87.666666666666657</v>
      </c>
      <c r="N280" t="str">
        <f t="shared" si="18"/>
        <v>H</v>
      </c>
    </row>
    <row r="281" spans="1:14">
      <c r="A281" t="s">
        <v>507</v>
      </c>
      <c r="B281">
        <v>109579</v>
      </c>
      <c r="C281">
        <v>12211530</v>
      </c>
      <c r="D281" t="s">
        <v>508</v>
      </c>
      <c r="E281" t="s">
        <v>13</v>
      </c>
      <c r="F281" t="s">
        <v>14</v>
      </c>
      <c r="G281">
        <v>9</v>
      </c>
      <c r="H281">
        <v>9.5</v>
      </c>
      <c r="I281">
        <v>10</v>
      </c>
      <c r="J281">
        <f>VLOOKUP(C281,exam!$D$29:$V$359,19,0)</f>
        <v>160.5</v>
      </c>
      <c r="K281">
        <v>10</v>
      </c>
      <c r="L281" s="43">
        <f t="shared" si="19"/>
        <v>92</v>
      </c>
      <c r="M281" s="43">
        <f t="shared" si="20"/>
        <v>92</v>
      </c>
      <c r="N281" t="str">
        <f t="shared" si="18"/>
        <v>HH</v>
      </c>
    </row>
    <row r="282" spans="1:14">
      <c r="A282" t="s">
        <v>523</v>
      </c>
      <c r="B282">
        <v>112175</v>
      </c>
      <c r="C282">
        <v>24158321</v>
      </c>
      <c r="D282" t="s">
        <v>524</v>
      </c>
      <c r="E282" t="s">
        <v>13</v>
      </c>
      <c r="F282" t="s">
        <v>14</v>
      </c>
      <c r="G282">
        <v>9.25</v>
      </c>
      <c r="H282">
        <v>9.75</v>
      </c>
      <c r="I282">
        <v>10</v>
      </c>
      <c r="J282">
        <f>VLOOKUP(C282,exam!$D$29:$V$359,19,0)</f>
        <v>152.5</v>
      </c>
      <c r="K282">
        <v>10</v>
      </c>
      <c r="L282" s="43">
        <f t="shared" si="19"/>
        <v>89.833333333333343</v>
      </c>
      <c r="M282" s="43">
        <f t="shared" si="20"/>
        <v>89.833333333333343</v>
      </c>
      <c r="N282" t="str">
        <f t="shared" si="18"/>
        <v>H</v>
      </c>
    </row>
    <row r="283" spans="1:14">
      <c r="A283" t="s">
        <v>533</v>
      </c>
      <c r="B283">
        <v>84045</v>
      </c>
      <c r="C283">
        <v>17494020</v>
      </c>
      <c r="D283" t="s">
        <v>534</v>
      </c>
      <c r="E283" t="s">
        <v>13</v>
      </c>
      <c r="F283" t="s">
        <v>14</v>
      </c>
      <c r="G283">
        <v>7.25</v>
      </c>
      <c r="H283">
        <v>9.75</v>
      </c>
      <c r="I283">
        <v>10</v>
      </c>
      <c r="J283">
        <f>VLOOKUP(C283,exam!$D$29:$V$359,19,0)</f>
        <v>159.5</v>
      </c>
      <c r="K283">
        <v>10</v>
      </c>
      <c r="L283" s="43">
        <f t="shared" si="19"/>
        <v>90.166666666666657</v>
      </c>
      <c r="M283" s="43">
        <f t="shared" si="20"/>
        <v>90.166666666666657</v>
      </c>
      <c r="N283" t="str">
        <f t="shared" si="18"/>
        <v>H</v>
      </c>
    </row>
    <row r="284" spans="1:14">
      <c r="A284" t="s">
        <v>537</v>
      </c>
      <c r="B284">
        <v>112217</v>
      </c>
      <c r="C284">
        <v>24158440</v>
      </c>
      <c r="D284" t="s">
        <v>538</v>
      </c>
      <c r="E284" t="s">
        <v>13</v>
      </c>
      <c r="F284" t="s">
        <v>14</v>
      </c>
      <c r="G284">
        <v>8.75</v>
      </c>
      <c r="H284">
        <v>9.75</v>
      </c>
      <c r="I284">
        <v>2.5</v>
      </c>
      <c r="J284">
        <f>VLOOKUP(C284,exam!$D$29:$V$359,19,0)</f>
        <v>105</v>
      </c>
      <c r="K284">
        <v>10</v>
      </c>
      <c r="L284" s="43">
        <f t="shared" si="19"/>
        <v>66</v>
      </c>
      <c r="M284" s="43">
        <f t="shared" si="20"/>
        <v>66</v>
      </c>
      <c r="N284" t="str">
        <f t="shared" si="18"/>
        <v>P</v>
      </c>
    </row>
    <row r="285" spans="1:14">
      <c r="A285" t="s">
        <v>563</v>
      </c>
      <c r="B285">
        <v>86824</v>
      </c>
      <c r="C285">
        <v>17530655</v>
      </c>
      <c r="D285" t="s">
        <v>564</v>
      </c>
      <c r="E285" t="s">
        <v>13</v>
      </c>
      <c r="F285" t="s">
        <v>14</v>
      </c>
      <c r="G285">
        <v>8.75</v>
      </c>
      <c r="H285">
        <v>9.75</v>
      </c>
      <c r="I285">
        <v>4</v>
      </c>
      <c r="J285">
        <f>VLOOKUP(C285,exam!$D$29:$V$359,19,0)</f>
        <v>94.5</v>
      </c>
      <c r="K285">
        <v>10</v>
      </c>
      <c r="L285" s="43">
        <f t="shared" si="19"/>
        <v>64</v>
      </c>
      <c r="M285" s="43">
        <f t="shared" si="20"/>
        <v>64</v>
      </c>
      <c r="N285" t="str">
        <f t="shared" si="18"/>
        <v>P</v>
      </c>
    </row>
    <row r="286" spans="1:14">
      <c r="A286" t="s">
        <v>581</v>
      </c>
      <c r="B286">
        <v>103699</v>
      </c>
      <c r="C286">
        <v>24037162</v>
      </c>
      <c r="D286" t="s">
        <v>582</v>
      </c>
      <c r="E286" t="s">
        <v>13</v>
      </c>
      <c r="F286" t="s">
        <v>14</v>
      </c>
      <c r="G286">
        <v>10</v>
      </c>
      <c r="H286">
        <v>9.75</v>
      </c>
      <c r="I286">
        <v>10</v>
      </c>
      <c r="J286">
        <f>VLOOKUP(C286,exam!$D$29:$V$359,19,0)</f>
        <v>123.5</v>
      </c>
      <c r="K286">
        <v>10</v>
      </c>
      <c r="L286" s="43">
        <f t="shared" si="19"/>
        <v>80.916666666666657</v>
      </c>
      <c r="M286" s="43">
        <f t="shared" si="20"/>
        <v>80.916666666666657</v>
      </c>
      <c r="N286" t="str">
        <f t="shared" si="18"/>
        <v>PR</v>
      </c>
    </row>
    <row r="287" spans="1:14">
      <c r="A287" t="s">
        <v>591</v>
      </c>
      <c r="B287">
        <v>108043</v>
      </c>
      <c r="C287">
        <v>24091545</v>
      </c>
      <c r="D287" t="s">
        <v>592</v>
      </c>
      <c r="E287" t="s">
        <v>13</v>
      </c>
      <c r="F287" t="s">
        <v>14</v>
      </c>
      <c r="G287">
        <v>10</v>
      </c>
      <c r="H287">
        <v>8.5</v>
      </c>
      <c r="I287">
        <v>9</v>
      </c>
      <c r="J287">
        <f>VLOOKUP(C287,exam!$D$29:$V$359,19,0)</f>
        <v>154</v>
      </c>
      <c r="K287">
        <v>10</v>
      </c>
      <c r="L287" s="43">
        <f t="shared" si="19"/>
        <v>88.833333333333343</v>
      </c>
      <c r="M287" s="43">
        <f t="shared" si="20"/>
        <v>88.833333333333343</v>
      </c>
      <c r="N287" t="str">
        <f t="shared" si="18"/>
        <v>H</v>
      </c>
    </row>
    <row r="288" spans="1:14">
      <c r="A288" t="s">
        <v>609</v>
      </c>
      <c r="B288">
        <v>104347</v>
      </c>
      <c r="C288">
        <v>24035887</v>
      </c>
      <c r="D288" t="s">
        <v>610</v>
      </c>
      <c r="E288" t="s">
        <v>13</v>
      </c>
      <c r="F288" t="s">
        <v>14</v>
      </c>
      <c r="G288">
        <v>9.5</v>
      </c>
      <c r="H288">
        <v>9.75</v>
      </c>
      <c r="I288">
        <v>10</v>
      </c>
      <c r="J288">
        <f>VLOOKUP(C288,exam!$D$29:$V$359,19,0)</f>
        <v>159</v>
      </c>
      <c r="K288">
        <v>10</v>
      </c>
      <c r="L288" s="43">
        <f t="shared" si="19"/>
        <v>92.25</v>
      </c>
      <c r="M288" s="43">
        <f t="shared" si="20"/>
        <v>92.25</v>
      </c>
      <c r="N288" t="str">
        <f t="shared" si="18"/>
        <v>HH</v>
      </c>
    </row>
    <row r="289" spans="1:14">
      <c r="A289" t="s">
        <v>619</v>
      </c>
      <c r="B289">
        <v>110759</v>
      </c>
      <c r="C289">
        <v>24136153</v>
      </c>
      <c r="D289" t="s">
        <v>620</v>
      </c>
      <c r="E289" t="s">
        <v>13</v>
      </c>
      <c r="F289" t="s">
        <v>14</v>
      </c>
      <c r="G289">
        <v>9.75</v>
      </c>
      <c r="H289">
        <v>9</v>
      </c>
      <c r="I289">
        <v>9.5</v>
      </c>
      <c r="J289">
        <f>VLOOKUP(C289,exam!$D$29:$V$359,19,0)</f>
        <v>121</v>
      </c>
      <c r="K289">
        <v>10</v>
      </c>
      <c r="L289" s="43">
        <f t="shared" si="19"/>
        <v>78.583333333333343</v>
      </c>
      <c r="M289" s="43">
        <f t="shared" si="20"/>
        <v>78.583333333333343</v>
      </c>
      <c r="N289" t="str">
        <f t="shared" si="18"/>
        <v>PR</v>
      </c>
    </row>
    <row r="290" spans="1:14">
      <c r="A290" t="s">
        <v>621</v>
      </c>
      <c r="B290">
        <v>109793</v>
      </c>
      <c r="C290">
        <v>24119884</v>
      </c>
      <c r="D290" t="s">
        <v>622</v>
      </c>
      <c r="E290" t="s">
        <v>13</v>
      </c>
      <c r="F290" t="s">
        <v>14</v>
      </c>
      <c r="G290">
        <v>8.75</v>
      </c>
      <c r="H290">
        <v>9.5</v>
      </c>
      <c r="I290">
        <v>10</v>
      </c>
      <c r="J290">
        <f>VLOOKUP(C290,exam!$D$29:$V$359,19,0)</f>
        <v>141.5</v>
      </c>
      <c r="K290">
        <v>10</v>
      </c>
      <c r="L290" s="43">
        <f t="shared" si="19"/>
        <v>85.416666666666657</v>
      </c>
      <c r="M290" s="43">
        <f t="shared" si="20"/>
        <v>85.416666666666657</v>
      </c>
      <c r="N290" t="str">
        <f t="shared" si="18"/>
        <v>H</v>
      </c>
    </row>
    <row r="291" spans="1:14">
      <c r="A291" t="s">
        <v>651</v>
      </c>
      <c r="B291">
        <v>103245</v>
      </c>
      <c r="C291">
        <v>24036788</v>
      </c>
      <c r="D291" t="s">
        <v>652</v>
      </c>
      <c r="E291" t="s">
        <v>13</v>
      </c>
      <c r="F291" t="s">
        <v>14</v>
      </c>
      <c r="G291">
        <v>10</v>
      </c>
      <c r="H291">
        <v>9.5</v>
      </c>
      <c r="I291">
        <v>10</v>
      </c>
      <c r="J291">
        <f>VLOOKUP(C291,exam!$D$29:$V$359,19,0)</f>
        <v>153.5</v>
      </c>
      <c r="K291">
        <v>10</v>
      </c>
      <c r="L291" s="43">
        <f t="shared" si="19"/>
        <v>90.666666666666657</v>
      </c>
      <c r="M291" s="43">
        <f t="shared" si="20"/>
        <v>90.666666666666657</v>
      </c>
      <c r="N291" t="str">
        <f t="shared" ref="N291:N307" si="21">IF(M291="","",IF(M291&gt;=$Q$3,$P$3,IF(M291&gt;=$Q$4,$P$4,IF(M291&gt;=$Q$5,$P$5,"P"))))</f>
        <v>H</v>
      </c>
    </row>
    <row r="292" spans="1:14">
      <c r="A292" t="s">
        <v>669</v>
      </c>
      <c r="B292">
        <v>13022</v>
      </c>
      <c r="C292">
        <v>17137904</v>
      </c>
      <c r="D292" t="s">
        <v>670</v>
      </c>
      <c r="E292" t="s">
        <v>13</v>
      </c>
      <c r="F292" t="s">
        <v>14</v>
      </c>
      <c r="G292">
        <v>9.25</v>
      </c>
      <c r="H292">
        <v>9.75</v>
      </c>
      <c r="I292">
        <v>10</v>
      </c>
      <c r="J292">
        <f>VLOOKUP(C292,exam!$D$29:$V$359,19,0)</f>
        <v>174.5</v>
      </c>
      <c r="K292">
        <v>10</v>
      </c>
      <c r="L292" s="43">
        <f t="shared" si="19"/>
        <v>97.166666666666657</v>
      </c>
      <c r="M292" s="43">
        <f t="shared" si="20"/>
        <v>97.166666666666657</v>
      </c>
      <c r="N292" t="str">
        <f t="shared" si="21"/>
        <v>HH</v>
      </c>
    </row>
    <row r="293" spans="1:14">
      <c r="A293" t="s">
        <v>671</v>
      </c>
      <c r="B293">
        <v>111793</v>
      </c>
      <c r="C293">
        <v>24152354</v>
      </c>
      <c r="D293" t="s">
        <v>672</v>
      </c>
      <c r="E293" t="s">
        <v>13</v>
      </c>
      <c r="F293" t="s">
        <v>14</v>
      </c>
      <c r="G293">
        <v>8.75</v>
      </c>
      <c r="H293">
        <v>9.5</v>
      </c>
      <c r="I293">
        <v>9.5</v>
      </c>
      <c r="J293">
        <f>VLOOKUP(C293,exam!$D$29:$V$359,19,0)</f>
        <v>118.5</v>
      </c>
      <c r="K293">
        <v>10</v>
      </c>
      <c r="L293" s="43">
        <f t="shared" si="19"/>
        <v>77.25</v>
      </c>
      <c r="M293" s="43">
        <f t="shared" si="20"/>
        <v>77.25</v>
      </c>
      <c r="N293" t="str">
        <f t="shared" si="21"/>
        <v>PR</v>
      </c>
    </row>
    <row r="294" spans="1:14">
      <c r="A294" t="s">
        <v>679</v>
      </c>
      <c r="B294">
        <v>113843</v>
      </c>
      <c r="C294">
        <v>24182274</v>
      </c>
      <c r="D294" t="s">
        <v>680</v>
      </c>
      <c r="E294" t="s">
        <v>13</v>
      </c>
      <c r="F294" t="s">
        <v>14</v>
      </c>
      <c r="G294">
        <v>9.25</v>
      </c>
      <c r="H294">
        <v>9.75</v>
      </c>
      <c r="I294">
        <v>10</v>
      </c>
      <c r="J294">
        <f>VLOOKUP(C294,exam!$D$29:$V$359,19,0)</f>
        <v>136</v>
      </c>
      <c r="K294">
        <v>10</v>
      </c>
      <c r="L294" s="43">
        <f t="shared" si="19"/>
        <v>84.333333333333343</v>
      </c>
      <c r="M294" s="43">
        <f t="shared" si="20"/>
        <v>84.333333333333343</v>
      </c>
      <c r="N294" t="str">
        <f t="shared" si="21"/>
        <v>PR</v>
      </c>
    </row>
    <row r="295" spans="1:14">
      <c r="A295" t="s">
        <v>703</v>
      </c>
      <c r="B295">
        <v>111513</v>
      </c>
      <c r="C295">
        <v>24149209</v>
      </c>
      <c r="D295" t="s">
        <v>704</v>
      </c>
      <c r="E295" t="s">
        <v>13</v>
      </c>
      <c r="F295" t="s">
        <v>14</v>
      </c>
      <c r="G295">
        <v>8.25</v>
      </c>
      <c r="H295">
        <v>7.75</v>
      </c>
      <c r="I295">
        <v>7.5</v>
      </c>
      <c r="J295">
        <f>VLOOKUP(C295,exam!$D$29:$V$359,19,0)</f>
        <v>148.5</v>
      </c>
      <c r="K295">
        <v>10</v>
      </c>
      <c r="L295" s="43">
        <f t="shared" si="19"/>
        <v>83</v>
      </c>
      <c r="M295" s="43">
        <f t="shared" si="20"/>
        <v>83</v>
      </c>
      <c r="N295" t="str">
        <f t="shared" si="21"/>
        <v>PR</v>
      </c>
    </row>
    <row r="296" spans="1:14">
      <c r="A296" t="s">
        <v>18</v>
      </c>
      <c r="B296">
        <v>111055</v>
      </c>
      <c r="C296">
        <v>24142154</v>
      </c>
      <c r="D296" t="s">
        <v>19</v>
      </c>
      <c r="E296" t="s">
        <v>13</v>
      </c>
      <c r="F296" t="s">
        <v>20</v>
      </c>
      <c r="G296">
        <v>10</v>
      </c>
      <c r="H296">
        <v>9.5</v>
      </c>
      <c r="I296">
        <v>10</v>
      </c>
      <c r="J296">
        <f>VLOOKUP(C296,exam!$D$29:$V$359,19,0)</f>
        <v>112</v>
      </c>
      <c r="K296">
        <v>10</v>
      </c>
      <c r="L296" s="43">
        <f t="shared" si="19"/>
        <v>76.833333333333343</v>
      </c>
      <c r="M296" s="43">
        <f t="shared" si="20"/>
        <v>76.833333333333343</v>
      </c>
      <c r="N296" t="str">
        <f t="shared" si="21"/>
        <v>PR</v>
      </c>
    </row>
    <row r="297" spans="1:14">
      <c r="A297" t="s">
        <v>21</v>
      </c>
      <c r="B297">
        <v>108284</v>
      </c>
      <c r="C297">
        <v>24097002</v>
      </c>
      <c r="D297" t="s">
        <v>22</v>
      </c>
      <c r="E297" t="s">
        <v>13</v>
      </c>
      <c r="F297" t="s">
        <v>20</v>
      </c>
      <c r="G297">
        <v>8.5</v>
      </c>
      <c r="H297">
        <v>9.75</v>
      </c>
      <c r="I297">
        <v>10</v>
      </c>
      <c r="J297">
        <f>VLOOKUP(C297,exam!$D$29:$V$359,19,0)</f>
        <v>130</v>
      </c>
      <c r="K297">
        <v>10</v>
      </c>
      <c r="L297" s="43">
        <f t="shared" si="19"/>
        <v>81.583333333333343</v>
      </c>
      <c r="M297" s="43">
        <f t="shared" si="20"/>
        <v>81.583333333333343</v>
      </c>
      <c r="N297" t="str">
        <f t="shared" si="21"/>
        <v>PR</v>
      </c>
    </row>
    <row r="298" spans="1:14">
      <c r="A298" t="s">
        <v>23</v>
      </c>
      <c r="B298">
        <v>109578</v>
      </c>
      <c r="C298">
        <v>24119544</v>
      </c>
      <c r="D298" t="s">
        <v>24</v>
      </c>
      <c r="E298" t="s">
        <v>13</v>
      </c>
      <c r="F298" t="s">
        <v>20</v>
      </c>
      <c r="G298">
        <v>8.5</v>
      </c>
      <c r="H298">
        <v>9.5</v>
      </c>
      <c r="I298">
        <v>9.5</v>
      </c>
      <c r="J298">
        <f>VLOOKUP(C298,exam!$D$29:$V$359,19,0)</f>
        <v>103</v>
      </c>
      <c r="K298">
        <v>10</v>
      </c>
      <c r="L298" s="43">
        <f t="shared" si="19"/>
        <v>71.833333333333343</v>
      </c>
      <c r="M298" s="43">
        <f t="shared" si="20"/>
        <v>71.833333333333343</v>
      </c>
      <c r="N298" t="str">
        <f t="shared" si="21"/>
        <v>PR</v>
      </c>
    </row>
    <row r="299" spans="1:14">
      <c r="A299" t="s">
        <v>57</v>
      </c>
      <c r="B299">
        <v>103822</v>
      </c>
      <c r="C299">
        <v>24037128</v>
      </c>
      <c r="D299" t="s">
        <v>58</v>
      </c>
      <c r="E299" t="s">
        <v>13</v>
      </c>
      <c r="F299" t="s">
        <v>20</v>
      </c>
      <c r="G299">
        <v>9.5</v>
      </c>
      <c r="H299">
        <v>9.5</v>
      </c>
      <c r="I299">
        <v>8.5</v>
      </c>
      <c r="J299">
        <f>VLOOKUP(C299,exam!$D$29:$V$359,19,0)</f>
        <v>123</v>
      </c>
      <c r="K299">
        <v>10</v>
      </c>
      <c r="L299" s="43">
        <f t="shared" si="19"/>
        <v>78.5</v>
      </c>
      <c r="M299" s="43">
        <f t="shared" si="20"/>
        <v>78.5</v>
      </c>
      <c r="N299" t="str">
        <f t="shared" si="21"/>
        <v>PR</v>
      </c>
    </row>
    <row r="300" spans="1:14">
      <c r="A300" t="s">
        <v>61</v>
      </c>
      <c r="B300">
        <v>113882</v>
      </c>
      <c r="C300">
        <v>24182750</v>
      </c>
      <c r="D300" t="s">
        <v>62</v>
      </c>
      <c r="E300" t="s">
        <v>13</v>
      </c>
      <c r="F300" t="s">
        <v>20</v>
      </c>
      <c r="G300">
        <v>9.75</v>
      </c>
      <c r="H300">
        <v>8.75</v>
      </c>
      <c r="I300">
        <v>9.5</v>
      </c>
      <c r="J300">
        <f>VLOOKUP(C300,exam!$D$29:$V$359,19,0)</f>
        <v>132.5</v>
      </c>
      <c r="K300">
        <v>10</v>
      </c>
      <c r="L300" s="43">
        <f t="shared" si="19"/>
        <v>82.166666666666657</v>
      </c>
      <c r="M300" s="43">
        <f t="shared" si="20"/>
        <v>82.166666666666657</v>
      </c>
      <c r="N300" t="str">
        <f t="shared" si="21"/>
        <v>PR</v>
      </c>
    </row>
    <row r="301" spans="1:14">
      <c r="A301" t="s">
        <v>79</v>
      </c>
      <c r="B301">
        <v>109912</v>
      </c>
      <c r="C301">
        <v>24123046</v>
      </c>
      <c r="D301" t="s">
        <v>80</v>
      </c>
      <c r="E301" t="s">
        <v>13</v>
      </c>
      <c r="F301" t="s">
        <v>20</v>
      </c>
      <c r="G301">
        <v>8.75</v>
      </c>
      <c r="H301">
        <v>9.75</v>
      </c>
      <c r="I301">
        <v>10</v>
      </c>
      <c r="J301">
        <f>VLOOKUP(C301,exam!$D$29:$V$359,19,0)</f>
        <v>145</v>
      </c>
      <c r="K301">
        <v>10</v>
      </c>
      <c r="L301" s="43">
        <f t="shared" si="19"/>
        <v>86.833333333333343</v>
      </c>
      <c r="M301" s="43">
        <f t="shared" si="20"/>
        <v>86.833333333333343</v>
      </c>
      <c r="N301" t="str">
        <f t="shared" si="21"/>
        <v>H</v>
      </c>
    </row>
    <row r="302" spans="1:14">
      <c r="A302" t="s">
        <v>83</v>
      </c>
      <c r="B302">
        <v>103070</v>
      </c>
      <c r="C302">
        <v>24035904</v>
      </c>
      <c r="D302" t="s">
        <v>84</v>
      </c>
      <c r="E302" t="s">
        <v>13</v>
      </c>
      <c r="F302" t="s">
        <v>20</v>
      </c>
      <c r="G302">
        <v>7.5</v>
      </c>
      <c r="H302">
        <v>9.5</v>
      </c>
      <c r="I302">
        <v>9.5</v>
      </c>
      <c r="J302">
        <f>VLOOKUP(C302,exam!$D$29:$V$359,19,0)</f>
        <v>120.5</v>
      </c>
      <c r="K302">
        <v>10</v>
      </c>
      <c r="L302" s="43">
        <f t="shared" si="19"/>
        <v>76.666666666666657</v>
      </c>
      <c r="M302" s="43">
        <f t="shared" si="20"/>
        <v>76.666666666666657</v>
      </c>
      <c r="N302" t="str">
        <f t="shared" si="21"/>
        <v>PR</v>
      </c>
    </row>
    <row r="303" spans="1:14">
      <c r="A303" t="s">
        <v>85</v>
      </c>
      <c r="B303">
        <v>107160</v>
      </c>
      <c r="C303">
        <v>24078761</v>
      </c>
      <c r="D303" t="s">
        <v>86</v>
      </c>
      <c r="E303" t="s">
        <v>13</v>
      </c>
      <c r="F303" t="s">
        <v>20</v>
      </c>
      <c r="G303">
        <v>9</v>
      </c>
      <c r="H303">
        <v>8.5</v>
      </c>
      <c r="I303">
        <v>9.5</v>
      </c>
      <c r="J303">
        <f>VLOOKUP(C303,exam!$D$29:$V$359,19,0)</f>
        <v>130.5</v>
      </c>
      <c r="K303">
        <v>10</v>
      </c>
      <c r="L303" s="43">
        <f t="shared" si="19"/>
        <v>80.5</v>
      </c>
      <c r="M303" s="43">
        <f t="shared" si="20"/>
        <v>80.5</v>
      </c>
      <c r="N303" t="str">
        <f t="shared" si="21"/>
        <v>PR</v>
      </c>
    </row>
    <row r="304" spans="1:14">
      <c r="A304" t="s">
        <v>87</v>
      </c>
      <c r="B304">
        <v>109783</v>
      </c>
      <c r="C304">
        <v>24119731</v>
      </c>
      <c r="D304" t="s">
        <v>88</v>
      </c>
      <c r="E304" t="s">
        <v>13</v>
      </c>
      <c r="F304" t="s">
        <v>20</v>
      </c>
      <c r="G304">
        <v>10</v>
      </c>
      <c r="H304">
        <v>10</v>
      </c>
      <c r="I304">
        <v>9</v>
      </c>
      <c r="J304">
        <f>VLOOKUP(C304,exam!$D$29:$V$359,19,0)</f>
        <v>103</v>
      </c>
      <c r="K304">
        <v>10</v>
      </c>
      <c r="L304" s="43">
        <f t="shared" si="19"/>
        <v>73.333333333333343</v>
      </c>
      <c r="M304" s="43">
        <f t="shared" si="20"/>
        <v>73.333333333333343</v>
      </c>
      <c r="N304" t="str">
        <f t="shared" si="21"/>
        <v>PR</v>
      </c>
    </row>
    <row r="305" spans="1:14">
      <c r="A305" t="s">
        <v>99</v>
      </c>
      <c r="B305">
        <v>103108</v>
      </c>
      <c r="C305">
        <v>24035683</v>
      </c>
      <c r="D305" t="s">
        <v>100</v>
      </c>
      <c r="E305" t="s">
        <v>13</v>
      </c>
      <c r="F305" t="s">
        <v>20</v>
      </c>
      <c r="G305">
        <v>8.5</v>
      </c>
      <c r="H305">
        <v>8.75</v>
      </c>
      <c r="I305">
        <v>10</v>
      </c>
      <c r="J305">
        <f>VLOOKUP(C305,exam!$D$29:$V$359,19,0)</f>
        <v>154.5</v>
      </c>
      <c r="K305">
        <v>10</v>
      </c>
      <c r="L305" s="43">
        <f t="shared" si="19"/>
        <v>88.75</v>
      </c>
      <c r="M305" s="43">
        <f t="shared" si="20"/>
        <v>88.75</v>
      </c>
      <c r="N305" t="str">
        <f t="shared" si="21"/>
        <v>H</v>
      </c>
    </row>
    <row r="306" spans="1:14">
      <c r="A306" t="s">
        <v>101</v>
      </c>
      <c r="B306">
        <v>104265</v>
      </c>
      <c r="C306">
        <v>24036074</v>
      </c>
      <c r="D306" t="s">
        <v>102</v>
      </c>
      <c r="E306" t="s">
        <v>13</v>
      </c>
      <c r="F306" t="s">
        <v>20</v>
      </c>
      <c r="G306">
        <v>10</v>
      </c>
      <c r="H306">
        <v>8.5</v>
      </c>
      <c r="I306">
        <v>8</v>
      </c>
      <c r="J306">
        <f>VLOOKUP(C306,exam!$D$29:$V$359,19,0)</f>
        <v>159</v>
      </c>
      <c r="K306">
        <v>10</v>
      </c>
      <c r="L306" s="43">
        <f t="shared" si="19"/>
        <v>89.5</v>
      </c>
      <c r="M306" s="43">
        <f t="shared" si="20"/>
        <v>89.5</v>
      </c>
      <c r="N306" t="str">
        <f t="shared" si="21"/>
        <v>H</v>
      </c>
    </row>
    <row r="307" spans="1:14">
      <c r="A307" t="s">
        <v>125</v>
      </c>
      <c r="B307">
        <v>109621</v>
      </c>
      <c r="C307">
        <v>24118082</v>
      </c>
      <c r="D307" t="s">
        <v>126</v>
      </c>
      <c r="E307" t="s">
        <v>13</v>
      </c>
      <c r="F307" t="s">
        <v>20</v>
      </c>
      <c r="G307">
        <v>7.5</v>
      </c>
      <c r="H307">
        <v>9.75</v>
      </c>
      <c r="I307">
        <v>10</v>
      </c>
      <c r="J307">
        <f>VLOOKUP(C307,exam!$D$29:$V$359,19,0)</f>
        <v>110.5</v>
      </c>
      <c r="K307">
        <v>10</v>
      </c>
      <c r="L307" s="43">
        <f t="shared" si="19"/>
        <v>74.083333333333343</v>
      </c>
      <c r="M307" s="43">
        <f t="shared" si="20"/>
        <v>74.083333333333343</v>
      </c>
      <c r="N307" t="str">
        <f t="shared" si="21"/>
        <v>PR</v>
      </c>
    </row>
    <row r="308" spans="1:14">
      <c r="A308" t="s">
        <v>149</v>
      </c>
      <c r="B308">
        <v>107593</v>
      </c>
      <c r="C308">
        <v>24086258</v>
      </c>
      <c r="D308" t="s">
        <v>150</v>
      </c>
      <c r="E308" t="s">
        <v>13</v>
      </c>
      <c r="F308" t="s">
        <v>20</v>
      </c>
      <c r="G308">
        <v>7</v>
      </c>
      <c r="H308">
        <v>0</v>
      </c>
      <c r="J308">
        <f>VLOOKUP(C308,exam!$D$29:$V$359,19,0)</f>
        <v>51</v>
      </c>
      <c r="K308">
        <v>10</v>
      </c>
      <c r="L308" s="43">
        <f t="shared" si="19"/>
        <v>34</v>
      </c>
      <c r="M308" s="43">
        <f t="shared" si="20"/>
        <v>34</v>
      </c>
      <c r="N308" t="s">
        <v>766</v>
      </c>
    </row>
    <row r="309" spans="1:14">
      <c r="A309" t="s">
        <v>153</v>
      </c>
      <c r="B309">
        <v>103840</v>
      </c>
      <c r="C309">
        <v>24037434</v>
      </c>
      <c r="D309" t="s">
        <v>154</v>
      </c>
      <c r="E309" t="s">
        <v>13</v>
      </c>
      <c r="F309" t="s">
        <v>20</v>
      </c>
      <c r="G309">
        <v>10</v>
      </c>
      <c r="H309">
        <v>7.75</v>
      </c>
      <c r="I309">
        <v>10</v>
      </c>
      <c r="J309">
        <f>VLOOKUP(C309,exam!$D$29:$V$359,19,0)</f>
        <v>143.5</v>
      </c>
      <c r="K309">
        <v>10</v>
      </c>
      <c r="L309" s="43">
        <f t="shared" si="19"/>
        <v>85.583333333333343</v>
      </c>
      <c r="M309" s="43">
        <f t="shared" si="20"/>
        <v>85.583333333333343</v>
      </c>
      <c r="N309" t="str">
        <f t="shared" ref="N309:N340" si="22">IF(M309="","",IF(M309&gt;=$Q$3,$P$3,IF(M309&gt;=$Q$4,$P$4,IF(M309&gt;=$Q$5,$P$5,"P"))))</f>
        <v>H</v>
      </c>
    </row>
    <row r="310" spans="1:14">
      <c r="A310" t="s">
        <v>157</v>
      </c>
      <c r="B310">
        <v>111177</v>
      </c>
      <c r="C310">
        <v>24143565</v>
      </c>
      <c r="D310" t="s">
        <v>158</v>
      </c>
      <c r="E310" t="s">
        <v>13</v>
      </c>
      <c r="F310" t="s">
        <v>20</v>
      </c>
      <c r="G310">
        <v>7.5</v>
      </c>
      <c r="H310">
        <v>9.75</v>
      </c>
      <c r="I310">
        <v>9.5</v>
      </c>
      <c r="J310">
        <f>VLOOKUP(C310,exam!$D$29:$V$359,19,0)</f>
        <v>114.5</v>
      </c>
      <c r="K310">
        <v>10</v>
      </c>
      <c r="L310" s="43">
        <f t="shared" si="19"/>
        <v>74.916666666666657</v>
      </c>
      <c r="M310" s="43">
        <f t="shared" si="20"/>
        <v>74.916666666666657</v>
      </c>
      <c r="N310" t="str">
        <f t="shared" si="22"/>
        <v>PR</v>
      </c>
    </row>
    <row r="311" spans="1:14">
      <c r="A311" t="s">
        <v>167</v>
      </c>
      <c r="B311">
        <v>104129</v>
      </c>
      <c r="C311">
        <v>24036567</v>
      </c>
      <c r="D311" t="s">
        <v>168</v>
      </c>
      <c r="E311" t="s">
        <v>13</v>
      </c>
      <c r="F311" t="s">
        <v>20</v>
      </c>
      <c r="G311">
        <v>8.5</v>
      </c>
      <c r="H311">
        <v>9.75</v>
      </c>
      <c r="I311">
        <v>8.5</v>
      </c>
      <c r="J311">
        <f>VLOOKUP(C311,exam!$D$29:$V$359,19,0)</f>
        <v>112.5</v>
      </c>
      <c r="K311">
        <v>10</v>
      </c>
      <c r="L311" s="43">
        <f t="shared" si="19"/>
        <v>74.25</v>
      </c>
      <c r="M311" s="43">
        <f t="shared" si="20"/>
        <v>74.25</v>
      </c>
      <c r="N311" t="str">
        <f t="shared" si="22"/>
        <v>PR</v>
      </c>
    </row>
    <row r="312" spans="1:14">
      <c r="A312" t="s">
        <v>171</v>
      </c>
      <c r="B312">
        <v>113591</v>
      </c>
      <c r="C312">
        <v>24178177</v>
      </c>
      <c r="D312" t="s">
        <v>172</v>
      </c>
      <c r="E312" t="s">
        <v>13</v>
      </c>
      <c r="F312" t="s">
        <v>20</v>
      </c>
      <c r="G312">
        <v>7.5</v>
      </c>
      <c r="H312">
        <v>9</v>
      </c>
      <c r="I312">
        <v>8.5</v>
      </c>
      <c r="J312">
        <f>VLOOKUP(C312,exam!$D$29:$V$359,19,0)</f>
        <v>105.5</v>
      </c>
      <c r="K312">
        <v>10</v>
      </c>
      <c r="L312" s="43">
        <f t="shared" si="19"/>
        <v>70.166666666666657</v>
      </c>
      <c r="M312" s="43">
        <f t="shared" si="20"/>
        <v>70.166666666666657</v>
      </c>
      <c r="N312" t="str">
        <f t="shared" si="22"/>
        <v>PR</v>
      </c>
    </row>
    <row r="313" spans="1:14">
      <c r="A313" t="s">
        <v>175</v>
      </c>
      <c r="B313">
        <v>107348</v>
      </c>
      <c r="C313">
        <v>24082467</v>
      </c>
      <c r="D313" t="s">
        <v>176</v>
      </c>
      <c r="E313" t="s">
        <v>13</v>
      </c>
      <c r="F313" t="s">
        <v>20</v>
      </c>
      <c r="G313">
        <v>9</v>
      </c>
      <c r="H313">
        <v>9.25</v>
      </c>
      <c r="I313">
        <v>9</v>
      </c>
      <c r="J313">
        <f>VLOOKUP(C313,exam!$D$29:$V$359,19,0)</f>
        <v>106</v>
      </c>
      <c r="K313">
        <v>10</v>
      </c>
      <c r="L313" s="43">
        <f t="shared" si="19"/>
        <v>72.583333333333343</v>
      </c>
      <c r="M313" s="43">
        <f t="shared" si="20"/>
        <v>72.583333333333343</v>
      </c>
      <c r="N313" t="str">
        <f t="shared" si="22"/>
        <v>PR</v>
      </c>
    </row>
    <row r="314" spans="1:14">
      <c r="A314" t="s">
        <v>203</v>
      </c>
      <c r="B314">
        <v>109433</v>
      </c>
      <c r="C314">
        <v>24115821</v>
      </c>
      <c r="D314" t="s">
        <v>204</v>
      </c>
      <c r="E314" t="s">
        <v>13</v>
      </c>
      <c r="F314" t="s">
        <v>20</v>
      </c>
      <c r="G314">
        <v>9</v>
      </c>
      <c r="H314">
        <v>10</v>
      </c>
      <c r="I314">
        <v>10</v>
      </c>
      <c r="J314">
        <f>VLOOKUP(C314,exam!$D$29:$V$359,19,0)</f>
        <v>144.5</v>
      </c>
      <c r="K314">
        <v>10</v>
      </c>
      <c r="L314" s="43">
        <f t="shared" si="19"/>
        <v>87.166666666666657</v>
      </c>
      <c r="M314" s="43">
        <f t="shared" si="20"/>
        <v>87.166666666666657</v>
      </c>
      <c r="N314" t="str">
        <f t="shared" si="22"/>
        <v>H</v>
      </c>
    </row>
    <row r="315" spans="1:14">
      <c r="A315" t="s">
        <v>205</v>
      </c>
      <c r="B315">
        <v>109908</v>
      </c>
      <c r="C315">
        <v>24122689</v>
      </c>
      <c r="D315" t="s">
        <v>206</v>
      </c>
      <c r="E315" t="s">
        <v>13</v>
      </c>
      <c r="F315" t="s">
        <v>20</v>
      </c>
      <c r="G315">
        <v>8</v>
      </c>
      <c r="H315">
        <v>9</v>
      </c>
      <c r="I315">
        <v>9</v>
      </c>
      <c r="J315">
        <f>VLOOKUP(C315,exam!$D$29:$V$359,19,0)</f>
        <v>79</v>
      </c>
      <c r="K315">
        <v>10</v>
      </c>
      <c r="L315" s="43">
        <f t="shared" si="19"/>
        <v>62.333333333333329</v>
      </c>
      <c r="M315" s="43">
        <f t="shared" si="20"/>
        <v>62.333333333333329</v>
      </c>
      <c r="N315" t="str">
        <f t="shared" si="22"/>
        <v>P</v>
      </c>
    </row>
    <row r="316" spans="1:14">
      <c r="A316" t="s">
        <v>217</v>
      </c>
      <c r="B316">
        <v>109737</v>
      </c>
      <c r="C316">
        <v>24119374</v>
      </c>
      <c r="D316" t="s">
        <v>218</v>
      </c>
      <c r="E316" t="s">
        <v>13</v>
      </c>
      <c r="F316" t="s">
        <v>20</v>
      </c>
      <c r="G316">
        <v>8</v>
      </c>
      <c r="H316">
        <v>7.5</v>
      </c>
      <c r="I316">
        <v>10</v>
      </c>
      <c r="J316">
        <f>VLOOKUP(C316,exam!$D$29:$V$359,19,0)</f>
        <v>134.5</v>
      </c>
      <c r="K316">
        <v>10</v>
      </c>
      <c r="L316" s="43">
        <f t="shared" si="19"/>
        <v>80.333333333333343</v>
      </c>
      <c r="M316" s="43">
        <f t="shared" si="20"/>
        <v>80.333333333333343</v>
      </c>
      <c r="N316" t="str">
        <f t="shared" si="22"/>
        <v>PR</v>
      </c>
    </row>
    <row r="317" spans="1:14">
      <c r="A317" t="s">
        <v>223</v>
      </c>
      <c r="B317">
        <v>107944</v>
      </c>
      <c r="C317">
        <v>24092055</v>
      </c>
      <c r="D317" t="s">
        <v>224</v>
      </c>
      <c r="E317" t="s">
        <v>13</v>
      </c>
      <c r="F317" t="s">
        <v>20</v>
      </c>
      <c r="G317">
        <v>10</v>
      </c>
      <c r="H317">
        <v>9.75</v>
      </c>
      <c r="I317">
        <v>10</v>
      </c>
      <c r="J317">
        <f>VLOOKUP(C317,exam!$D$29:$V$359,19,0)</f>
        <v>167</v>
      </c>
      <c r="K317">
        <v>10</v>
      </c>
      <c r="L317" s="43">
        <f t="shared" si="19"/>
        <v>95.416666666666657</v>
      </c>
      <c r="M317" s="43">
        <f t="shared" si="20"/>
        <v>95.416666666666657</v>
      </c>
      <c r="N317" t="str">
        <f t="shared" si="22"/>
        <v>HH</v>
      </c>
    </row>
    <row r="318" spans="1:14">
      <c r="A318" t="s">
        <v>227</v>
      </c>
      <c r="B318">
        <v>104262</v>
      </c>
      <c r="C318">
        <v>24036754</v>
      </c>
      <c r="D318" t="s">
        <v>228</v>
      </c>
      <c r="E318" t="s">
        <v>13</v>
      </c>
      <c r="F318" t="s">
        <v>20</v>
      </c>
      <c r="G318">
        <v>9</v>
      </c>
      <c r="H318">
        <v>7.75</v>
      </c>
      <c r="I318">
        <v>10</v>
      </c>
      <c r="J318">
        <f>VLOOKUP(C318,exam!$D$29:$V$359,19,0)</f>
        <v>123.5</v>
      </c>
      <c r="K318">
        <v>10</v>
      </c>
      <c r="L318" s="43">
        <f t="shared" si="19"/>
        <v>77.916666666666657</v>
      </c>
      <c r="M318" s="43">
        <f t="shared" si="20"/>
        <v>77.916666666666657</v>
      </c>
      <c r="N318" t="str">
        <f t="shared" si="22"/>
        <v>PR</v>
      </c>
    </row>
    <row r="319" spans="1:14">
      <c r="A319" t="s">
        <v>241</v>
      </c>
      <c r="B319">
        <v>112210</v>
      </c>
      <c r="C319">
        <v>24158389</v>
      </c>
      <c r="D319" t="s">
        <v>242</v>
      </c>
      <c r="E319" t="s">
        <v>13</v>
      </c>
      <c r="F319" t="s">
        <v>20</v>
      </c>
      <c r="G319">
        <v>10</v>
      </c>
      <c r="H319">
        <v>9.75</v>
      </c>
      <c r="I319">
        <v>10</v>
      </c>
      <c r="J319">
        <f>VLOOKUP(C319,exam!$D$29:$V$359,19,0)</f>
        <v>153</v>
      </c>
      <c r="K319">
        <v>10</v>
      </c>
      <c r="L319" s="43">
        <f t="shared" si="19"/>
        <v>90.75</v>
      </c>
      <c r="M319" s="43">
        <f t="shared" si="20"/>
        <v>90.75</v>
      </c>
      <c r="N319" t="str">
        <f t="shared" si="22"/>
        <v>H</v>
      </c>
    </row>
    <row r="320" spans="1:14">
      <c r="A320" t="s">
        <v>243</v>
      </c>
      <c r="B320">
        <v>104900</v>
      </c>
      <c r="C320">
        <v>24042534</v>
      </c>
      <c r="D320" t="s">
        <v>244</v>
      </c>
      <c r="E320" t="s">
        <v>13</v>
      </c>
      <c r="F320" t="s">
        <v>20</v>
      </c>
      <c r="G320">
        <v>10</v>
      </c>
      <c r="H320">
        <v>9.5</v>
      </c>
      <c r="I320">
        <v>9.5</v>
      </c>
      <c r="J320">
        <f>VLOOKUP(C320,exam!$D$29:$V$359,19,0)</f>
        <v>149</v>
      </c>
      <c r="K320">
        <v>10</v>
      </c>
      <c r="L320" s="43">
        <f t="shared" si="19"/>
        <v>88.666666666666657</v>
      </c>
      <c r="M320" s="43">
        <f t="shared" si="20"/>
        <v>88.666666666666657</v>
      </c>
      <c r="N320" t="str">
        <f t="shared" si="22"/>
        <v>H</v>
      </c>
    </row>
    <row r="321" spans="1:14">
      <c r="A321" t="s">
        <v>245</v>
      </c>
      <c r="B321">
        <v>87853</v>
      </c>
      <c r="C321">
        <v>17550511</v>
      </c>
      <c r="D321" t="s">
        <v>246</v>
      </c>
      <c r="E321" t="s">
        <v>13</v>
      </c>
      <c r="F321" t="s">
        <v>20</v>
      </c>
      <c r="G321">
        <v>8</v>
      </c>
      <c r="H321">
        <v>4.25</v>
      </c>
      <c r="I321">
        <v>4.5</v>
      </c>
      <c r="J321">
        <f>VLOOKUP(C321,exam!$D$29:$V$359,19,0)</f>
        <v>160.5</v>
      </c>
      <c r="K321">
        <v>10</v>
      </c>
      <c r="L321" s="43">
        <f t="shared" si="19"/>
        <v>80.25</v>
      </c>
      <c r="M321" s="43">
        <f t="shared" si="20"/>
        <v>80.25</v>
      </c>
      <c r="N321" t="str">
        <f t="shared" si="22"/>
        <v>PR</v>
      </c>
    </row>
    <row r="322" spans="1:14">
      <c r="A322" t="s">
        <v>251</v>
      </c>
      <c r="B322">
        <v>108672</v>
      </c>
      <c r="C322">
        <v>24102833</v>
      </c>
      <c r="D322" t="s">
        <v>252</v>
      </c>
      <c r="E322" t="s">
        <v>13</v>
      </c>
      <c r="F322" t="s">
        <v>20</v>
      </c>
      <c r="G322">
        <v>9</v>
      </c>
      <c r="H322">
        <v>10</v>
      </c>
      <c r="I322">
        <v>10</v>
      </c>
      <c r="J322">
        <f>VLOOKUP(C322,exam!$D$29:$V$359,19,0)</f>
        <v>142</v>
      </c>
      <c r="K322">
        <v>10</v>
      </c>
      <c r="L322" s="43">
        <f t="shared" si="19"/>
        <v>86.333333333333343</v>
      </c>
      <c r="M322" s="43">
        <f t="shared" si="20"/>
        <v>86.333333333333343</v>
      </c>
      <c r="N322" t="str">
        <f t="shared" si="22"/>
        <v>H</v>
      </c>
    </row>
    <row r="323" spans="1:14">
      <c r="A323" t="s">
        <v>255</v>
      </c>
      <c r="B323">
        <v>109632</v>
      </c>
      <c r="C323">
        <v>24119867</v>
      </c>
      <c r="D323" t="s">
        <v>256</v>
      </c>
      <c r="E323" t="s">
        <v>13</v>
      </c>
      <c r="F323" t="s">
        <v>20</v>
      </c>
      <c r="G323">
        <v>8</v>
      </c>
      <c r="H323">
        <v>8.5</v>
      </c>
      <c r="I323">
        <v>9.5</v>
      </c>
      <c r="J323">
        <f>VLOOKUP(C323,exam!$D$29:$V$359,19,0)</f>
        <v>126</v>
      </c>
      <c r="K323">
        <v>10</v>
      </c>
      <c r="L323" s="43">
        <f t="shared" si="19"/>
        <v>78</v>
      </c>
      <c r="M323" s="43">
        <f t="shared" si="20"/>
        <v>78</v>
      </c>
      <c r="N323" t="str">
        <f t="shared" si="22"/>
        <v>PR</v>
      </c>
    </row>
    <row r="324" spans="1:14">
      <c r="A324" t="s">
        <v>281</v>
      </c>
      <c r="B324">
        <v>109662</v>
      </c>
      <c r="C324">
        <v>24119578</v>
      </c>
      <c r="D324" t="s">
        <v>282</v>
      </c>
      <c r="E324" t="s">
        <v>13</v>
      </c>
      <c r="F324" t="s">
        <v>20</v>
      </c>
      <c r="G324">
        <v>9</v>
      </c>
      <c r="H324">
        <v>10</v>
      </c>
      <c r="I324">
        <v>10</v>
      </c>
      <c r="J324">
        <f>VLOOKUP(C324,exam!$D$29:$V$359,19,0)</f>
        <v>117.5</v>
      </c>
      <c r="K324">
        <v>10</v>
      </c>
      <c r="L324" s="43">
        <f t="shared" ref="L324:L362" si="23">SUM(K324,I324,H324,G324)+J324/3</f>
        <v>78.166666666666657</v>
      </c>
      <c r="M324" s="43">
        <f t="shared" ref="M324:M362" si="24">IF(ISERROR(L324),"",L324)</f>
        <v>78.166666666666657</v>
      </c>
      <c r="N324" t="str">
        <f t="shared" si="22"/>
        <v>PR</v>
      </c>
    </row>
    <row r="325" spans="1:14">
      <c r="A325" t="s">
        <v>297</v>
      </c>
      <c r="B325">
        <v>107537</v>
      </c>
      <c r="C325">
        <v>24086343</v>
      </c>
      <c r="D325" t="s">
        <v>298</v>
      </c>
      <c r="E325" t="s">
        <v>13</v>
      </c>
      <c r="F325" t="s">
        <v>20</v>
      </c>
      <c r="G325">
        <v>10</v>
      </c>
      <c r="H325">
        <v>9</v>
      </c>
      <c r="I325">
        <v>10</v>
      </c>
      <c r="J325">
        <f>VLOOKUP(C325,exam!$D$29:$V$359,19,0)</f>
        <v>154</v>
      </c>
      <c r="K325">
        <v>10</v>
      </c>
      <c r="L325" s="43">
        <f t="shared" si="23"/>
        <v>90.333333333333343</v>
      </c>
      <c r="M325" s="43">
        <f t="shared" si="24"/>
        <v>90.333333333333343</v>
      </c>
      <c r="N325" t="str">
        <f t="shared" si="22"/>
        <v>H</v>
      </c>
    </row>
    <row r="326" spans="1:14">
      <c r="A326" t="s">
        <v>311</v>
      </c>
      <c r="B326">
        <v>108268</v>
      </c>
      <c r="C326">
        <v>24096951</v>
      </c>
      <c r="D326" t="s">
        <v>312</v>
      </c>
      <c r="E326" t="s">
        <v>13</v>
      </c>
      <c r="F326" t="s">
        <v>20</v>
      </c>
      <c r="G326">
        <v>9</v>
      </c>
      <c r="H326">
        <v>8.75</v>
      </c>
      <c r="I326">
        <v>10</v>
      </c>
      <c r="J326">
        <f>VLOOKUP(C326,exam!$D$29:$V$359,19,0)</f>
        <v>162.5</v>
      </c>
      <c r="K326">
        <v>10</v>
      </c>
      <c r="L326" s="43">
        <f t="shared" si="23"/>
        <v>91.916666666666657</v>
      </c>
      <c r="M326" s="43">
        <f t="shared" si="24"/>
        <v>91.916666666666657</v>
      </c>
      <c r="N326" t="str">
        <f t="shared" si="22"/>
        <v>HH</v>
      </c>
    </row>
    <row r="327" spans="1:14">
      <c r="A327" t="s">
        <v>319</v>
      </c>
      <c r="B327">
        <v>63156</v>
      </c>
      <c r="C327">
        <v>17300288</v>
      </c>
      <c r="D327" t="s">
        <v>320</v>
      </c>
      <c r="E327" t="s">
        <v>13</v>
      </c>
      <c r="F327" t="s">
        <v>20</v>
      </c>
      <c r="G327">
        <v>9</v>
      </c>
      <c r="H327">
        <v>9.75</v>
      </c>
      <c r="I327">
        <v>9</v>
      </c>
      <c r="J327">
        <f>VLOOKUP(C327,exam!$D$29:$V$359,19,0)</f>
        <v>120.5</v>
      </c>
      <c r="K327">
        <v>10</v>
      </c>
      <c r="L327" s="43">
        <f t="shared" si="23"/>
        <v>77.916666666666657</v>
      </c>
      <c r="M327" s="43">
        <f t="shared" si="24"/>
        <v>77.916666666666657</v>
      </c>
      <c r="N327" t="str">
        <f t="shared" si="22"/>
        <v>PR</v>
      </c>
    </row>
    <row r="328" spans="1:14">
      <c r="A328" t="s">
        <v>327</v>
      </c>
      <c r="B328">
        <v>103485</v>
      </c>
      <c r="C328">
        <v>24037468</v>
      </c>
      <c r="D328" t="s">
        <v>328</v>
      </c>
      <c r="E328" t="s">
        <v>13</v>
      </c>
      <c r="F328" t="s">
        <v>20</v>
      </c>
      <c r="G328">
        <v>10</v>
      </c>
      <c r="H328">
        <v>8.75</v>
      </c>
      <c r="I328">
        <v>9.5</v>
      </c>
      <c r="J328">
        <f>VLOOKUP(C328,exam!$D$29:$V$359,19,0)</f>
        <v>145.5</v>
      </c>
      <c r="K328">
        <v>10</v>
      </c>
      <c r="L328" s="43">
        <f t="shared" si="23"/>
        <v>86.75</v>
      </c>
      <c r="M328" s="43">
        <f t="shared" si="24"/>
        <v>86.75</v>
      </c>
      <c r="N328" t="str">
        <f t="shared" si="22"/>
        <v>H</v>
      </c>
    </row>
    <row r="329" spans="1:14">
      <c r="A329" t="s">
        <v>353</v>
      </c>
      <c r="B329">
        <v>88529</v>
      </c>
      <c r="C329">
        <v>17554914</v>
      </c>
      <c r="D329" t="s">
        <v>354</v>
      </c>
      <c r="E329" t="s">
        <v>13</v>
      </c>
      <c r="F329" t="s">
        <v>20</v>
      </c>
      <c r="G329">
        <v>8.75</v>
      </c>
      <c r="H329">
        <v>9</v>
      </c>
      <c r="I329">
        <v>10</v>
      </c>
      <c r="J329">
        <f>VLOOKUP(C329,exam!$D$29:$V$359,19,0)</f>
        <v>130</v>
      </c>
      <c r="K329">
        <v>10</v>
      </c>
      <c r="L329" s="43">
        <f t="shared" si="23"/>
        <v>81.083333333333343</v>
      </c>
      <c r="M329" s="43">
        <f t="shared" si="24"/>
        <v>81.083333333333343</v>
      </c>
      <c r="N329" t="str">
        <f t="shared" si="22"/>
        <v>PR</v>
      </c>
    </row>
    <row r="330" spans="1:14">
      <c r="A330" t="s">
        <v>365</v>
      </c>
      <c r="B330">
        <v>104121</v>
      </c>
      <c r="C330">
        <v>24036703</v>
      </c>
      <c r="D330" t="s">
        <v>366</v>
      </c>
      <c r="E330" t="s">
        <v>13</v>
      </c>
      <c r="F330" t="s">
        <v>20</v>
      </c>
      <c r="G330">
        <v>9.5</v>
      </c>
      <c r="H330">
        <v>9.5</v>
      </c>
      <c r="I330">
        <v>10</v>
      </c>
      <c r="J330">
        <f>VLOOKUP(C330,exam!$D$29:$V$359,19,0)</f>
        <v>170</v>
      </c>
      <c r="K330">
        <v>10</v>
      </c>
      <c r="L330" s="43">
        <f t="shared" si="23"/>
        <v>95.666666666666657</v>
      </c>
      <c r="M330" s="43">
        <f t="shared" si="24"/>
        <v>95.666666666666657</v>
      </c>
      <c r="N330" t="str">
        <f t="shared" si="22"/>
        <v>HH</v>
      </c>
    </row>
    <row r="331" spans="1:14">
      <c r="A331" t="s">
        <v>387</v>
      </c>
      <c r="B331">
        <v>104077</v>
      </c>
      <c r="C331">
        <v>24036856</v>
      </c>
      <c r="D331" t="s">
        <v>388</v>
      </c>
      <c r="E331" t="s">
        <v>13</v>
      </c>
      <c r="F331" t="s">
        <v>20</v>
      </c>
      <c r="G331">
        <v>10</v>
      </c>
      <c r="H331">
        <v>8.5</v>
      </c>
      <c r="I331">
        <v>9.5</v>
      </c>
      <c r="J331">
        <f>VLOOKUP(C331,exam!$D$29:$V$359,19,0)</f>
        <v>150</v>
      </c>
      <c r="K331">
        <v>10</v>
      </c>
      <c r="L331" s="43">
        <f t="shared" si="23"/>
        <v>88</v>
      </c>
      <c r="M331" s="43">
        <f t="shared" si="24"/>
        <v>88</v>
      </c>
      <c r="N331" t="str">
        <f t="shared" si="22"/>
        <v>H</v>
      </c>
    </row>
    <row r="332" spans="1:14">
      <c r="A332" t="s">
        <v>391</v>
      </c>
      <c r="B332">
        <v>109935</v>
      </c>
      <c r="C332">
        <v>24122859</v>
      </c>
      <c r="D332" t="s">
        <v>392</v>
      </c>
      <c r="E332" t="s">
        <v>13</v>
      </c>
      <c r="F332" t="s">
        <v>20</v>
      </c>
      <c r="G332">
        <v>9</v>
      </c>
      <c r="H332">
        <v>8.5</v>
      </c>
      <c r="I332">
        <v>8</v>
      </c>
      <c r="J332">
        <f>VLOOKUP(C332,exam!$D$29:$V$359,19,0)</f>
        <v>117</v>
      </c>
      <c r="K332">
        <v>10</v>
      </c>
      <c r="L332" s="43">
        <f t="shared" si="23"/>
        <v>74.5</v>
      </c>
      <c r="M332" s="43">
        <f t="shared" si="24"/>
        <v>74.5</v>
      </c>
      <c r="N332" t="str">
        <f t="shared" si="22"/>
        <v>PR</v>
      </c>
    </row>
    <row r="333" spans="1:14">
      <c r="A333" t="s">
        <v>393</v>
      </c>
      <c r="B333">
        <v>107528</v>
      </c>
      <c r="C333">
        <v>24084388</v>
      </c>
      <c r="D333" t="s">
        <v>394</v>
      </c>
      <c r="E333" t="s">
        <v>13</v>
      </c>
      <c r="F333" t="s">
        <v>20</v>
      </c>
      <c r="G333">
        <v>9</v>
      </c>
      <c r="H333">
        <v>9.5</v>
      </c>
      <c r="I333">
        <v>10</v>
      </c>
      <c r="J333">
        <f>VLOOKUP(C333,exam!$D$29:$V$359,19,0)</f>
        <v>164</v>
      </c>
      <c r="K333">
        <v>10</v>
      </c>
      <c r="L333" s="43">
        <f t="shared" si="23"/>
        <v>93.166666666666657</v>
      </c>
      <c r="M333" s="43">
        <f t="shared" si="24"/>
        <v>93.166666666666657</v>
      </c>
      <c r="N333" t="str">
        <f t="shared" si="22"/>
        <v>HH</v>
      </c>
    </row>
    <row r="334" spans="1:14">
      <c r="A334" t="s">
        <v>405</v>
      </c>
      <c r="B334">
        <v>112161</v>
      </c>
      <c r="C334">
        <v>24158474</v>
      </c>
      <c r="D334" t="s">
        <v>406</v>
      </c>
      <c r="E334" t="s">
        <v>13</v>
      </c>
      <c r="F334" t="s">
        <v>20</v>
      </c>
      <c r="G334">
        <v>8.5</v>
      </c>
      <c r="H334">
        <v>7.75</v>
      </c>
      <c r="I334">
        <v>8</v>
      </c>
      <c r="J334">
        <f>VLOOKUP(C334,exam!$D$29:$V$359,19,0)</f>
        <v>123</v>
      </c>
      <c r="K334">
        <v>10</v>
      </c>
      <c r="L334" s="43">
        <f t="shared" si="23"/>
        <v>75.25</v>
      </c>
      <c r="M334" s="43">
        <f t="shared" si="24"/>
        <v>75.25</v>
      </c>
      <c r="N334" t="str">
        <f t="shared" si="22"/>
        <v>PR</v>
      </c>
    </row>
    <row r="335" spans="1:14">
      <c r="A335" t="s">
        <v>417</v>
      </c>
      <c r="B335">
        <v>113501</v>
      </c>
      <c r="C335">
        <v>24176511</v>
      </c>
      <c r="D335" t="s">
        <v>418</v>
      </c>
      <c r="E335" t="s">
        <v>13</v>
      </c>
      <c r="F335" t="s">
        <v>20</v>
      </c>
      <c r="G335">
        <v>8.5</v>
      </c>
      <c r="H335">
        <v>9.5</v>
      </c>
      <c r="I335">
        <v>10</v>
      </c>
      <c r="J335">
        <f>VLOOKUP(C335,exam!$D$29:$V$359,19,0)</f>
        <v>85</v>
      </c>
      <c r="K335">
        <v>10</v>
      </c>
      <c r="L335" s="43">
        <f t="shared" si="23"/>
        <v>66.333333333333329</v>
      </c>
      <c r="M335" s="43">
        <f t="shared" si="24"/>
        <v>66.333333333333329</v>
      </c>
      <c r="N335" t="str">
        <f t="shared" si="22"/>
        <v>P</v>
      </c>
    </row>
    <row r="336" spans="1:14">
      <c r="A336" t="s">
        <v>431</v>
      </c>
      <c r="B336">
        <v>103756</v>
      </c>
      <c r="C336">
        <v>24036516</v>
      </c>
      <c r="D336" t="s">
        <v>432</v>
      </c>
      <c r="E336" t="s">
        <v>13</v>
      </c>
      <c r="F336" t="s">
        <v>20</v>
      </c>
      <c r="G336">
        <v>10</v>
      </c>
      <c r="H336">
        <v>7.5</v>
      </c>
      <c r="I336">
        <v>10</v>
      </c>
      <c r="J336">
        <f>VLOOKUP(C336,exam!$D$29:$V$359,19,0)</f>
        <v>125.5</v>
      </c>
      <c r="K336">
        <v>10</v>
      </c>
      <c r="L336" s="43">
        <f t="shared" si="23"/>
        <v>79.333333333333343</v>
      </c>
      <c r="M336" s="43">
        <f t="shared" si="24"/>
        <v>79.333333333333343</v>
      </c>
      <c r="N336" t="str">
        <f t="shared" si="22"/>
        <v>PR</v>
      </c>
    </row>
    <row r="337" spans="1:14">
      <c r="A337" t="s">
        <v>447</v>
      </c>
      <c r="B337">
        <v>108226</v>
      </c>
      <c r="C337">
        <v>24094605</v>
      </c>
      <c r="D337" t="s">
        <v>448</v>
      </c>
      <c r="E337" t="s">
        <v>13</v>
      </c>
      <c r="F337" t="s">
        <v>20</v>
      </c>
      <c r="G337">
        <v>10</v>
      </c>
      <c r="H337">
        <v>9.75</v>
      </c>
      <c r="I337">
        <v>7.5</v>
      </c>
      <c r="J337">
        <f>VLOOKUP(C337,exam!$D$29:$V$359,19,0)</f>
        <v>152.5</v>
      </c>
      <c r="K337">
        <v>10</v>
      </c>
      <c r="L337" s="43">
        <f t="shared" si="23"/>
        <v>88.083333333333343</v>
      </c>
      <c r="M337" s="43">
        <f t="shared" si="24"/>
        <v>88.083333333333343</v>
      </c>
      <c r="N337" t="str">
        <f t="shared" si="22"/>
        <v>H</v>
      </c>
    </row>
    <row r="338" spans="1:14">
      <c r="A338" t="s">
        <v>455</v>
      </c>
      <c r="B338">
        <v>104507</v>
      </c>
      <c r="C338">
        <v>17658512</v>
      </c>
      <c r="D338" t="s">
        <v>456</v>
      </c>
      <c r="E338" t="s">
        <v>13</v>
      </c>
      <c r="F338" t="s">
        <v>20</v>
      </c>
      <c r="G338">
        <v>8</v>
      </c>
      <c r="H338">
        <v>9.75</v>
      </c>
      <c r="I338">
        <v>4.5</v>
      </c>
      <c r="J338">
        <f>VLOOKUP(C338,exam!$D$29:$V$359,19,0)</f>
        <v>121.5</v>
      </c>
      <c r="K338">
        <v>10</v>
      </c>
      <c r="L338" s="43">
        <f t="shared" si="23"/>
        <v>72.75</v>
      </c>
      <c r="M338" s="43">
        <f t="shared" si="24"/>
        <v>72.75</v>
      </c>
      <c r="N338" t="str">
        <f t="shared" si="22"/>
        <v>PR</v>
      </c>
    </row>
    <row r="339" spans="1:14">
      <c r="A339" t="s">
        <v>463</v>
      </c>
      <c r="B339">
        <v>109959</v>
      </c>
      <c r="C339">
        <v>24122842</v>
      </c>
      <c r="D339" t="s">
        <v>464</v>
      </c>
      <c r="E339" t="s">
        <v>13</v>
      </c>
      <c r="F339" t="s">
        <v>20</v>
      </c>
      <c r="G339">
        <v>8</v>
      </c>
      <c r="H339">
        <v>9</v>
      </c>
      <c r="I339">
        <v>10</v>
      </c>
      <c r="J339">
        <f>VLOOKUP(C339,exam!$D$29:$V$359,19,0)</f>
        <v>162</v>
      </c>
      <c r="K339">
        <v>10</v>
      </c>
      <c r="L339" s="43">
        <f t="shared" si="23"/>
        <v>91</v>
      </c>
      <c r="M339" s="43">
        <f t="shared" si="24"/>
        <v>91</v>
      </c>
      <c r="N339" t="str">
        <f t="shared" si="22"/>
        <v>H</v>
      </c>
    </row>
    <row r="340" spans="1:14">
      <c r="A340" t="s">
        <v>483</v>
      </c>
      <c r="B340">
        <v>103104</v>
      </c>
      <c r="C340">
        <v>24036380</v>
      </c>
      <c r="D340" t="s">
        <v>484</v>
      </c>
      <c r="E340" t="s">
        <v>13</v>
      </c>
      <c r="F340" t="s">
        <v>20</v>
      </c>
      <c r="G340">
        <v>10</v>
      </c>
      <c r="H340">
        <v>9.75</v>
      </c>
      <c r="I340">
        <v>9.5</v>
      </c>
      <c r="J340">
        <f>VLOOKUP(C340,exam!$D$29:$V$359,19,0)</f>
        <v>149.5</v>
      </c>
      <c r="K340">
        <v>10</v>
      </c>
      <c r="L340" s="43">
        <f t="shared" si="23"/>
        <v>89.083333333333343</v>
      </c>
      <c r="M340" s="43">
        <f t="shared" si="24"/>
        <v>89.083333333333343</v>
      </c>
      <c r="N340" t="str">
        <f t="shared" si="22"/>
        <v>H</v>
      </c>
    </row>
    <row r="341" spans="1:14">
      <c r="A341" t="s">
        <v>487</v>
      </c>
      <c r="B341">
        <v>108056</v>
      </c>
      <c r="C341">
        <v>24092752</v>
      </c>
      <c r="D341" t="s">
        <v>488</v>
      </c>
      <c r="E341" t="s">
        <v>13</v>
      </c>
      <c r="F341" t="s">
        <v>20</v>
      </c>
      <c r="G341">
        <v>9.5</v>
      </c>
      <c r="H341">
        <v>9</v>
      </c>
      <c r="I341">
        <v>5</v>
      </c>
      <c r="J341">
        <f>VLOOKUP(C341,exam!$D$29:$V$359,19,0)</f>
        <v>150</v>
      </c>
      <c r="K341">
        <v>10</v>
      </c>
      <c r="L341" s="43">
        <f t="shared" si="23"/>
        <v>83.5</v>
      </c>
      <c r="M341" s="43">
        <f t="shared" si="24"/>
        <v>83.5</v>
      </c>
      <c r="N341" t="str">
        <f t="shared" ref="N341:N362" si="25">IF(M341="","",IF(M341&gt;=$Q$3,$P$3,IF(M341&gt;=$Q$4,$P$4,IF(M341&gt;=$Q$5,$P$5,"P"))))</f>
        <v>PR</v>
      </c>
    </row>
    <row r="342" spans="1:14">
      <c r="A342" t="s">
        <v>499</v>
      </c>
      <c r="B342">
        <v>108559</v>
      </c>
      <c r="C342">
        <v>24100606</v>
      </c>
      <c r="D342" t="s">
        <v>500</v>
      </c>
      <c r="E342" t="s">
        <v>13</v>
      </c>
      <c r="F342" t="s">
        <v>20</v>
      </c>
      <c r="G342">
        <v>7.5</v>
      </c>
      <c r="H342">
        <v>9.75</v>
      </c>
      <c r="I342">
        <v>9.5</v>
      </c>
      <c r="J342">
        <f>VLOOKUP(C342,exam!$D$29:$V$359,19,0)</f>
        <v>114</v>
      </c>
      <c r="K342">
        <v>10</v>
      </c>
      <c r="L342" s="43">
        <f t="shared" si="23"/>
        <v>74.75</v>
      </c>
      <c r="M342" s="43">
        <f t="shared" si="24"/>
        <v>74.75</v>
      </c>
      <c r="N342" t="str">
        <f t="shared" si="25"/>
        <v>PR</v>
      </c>
    </row>
    <row r="343" spans="1:14">
      <c r="A343" t="s">
        <v>503</v>
      </c>
      <c r="B343">
        <v>110576</v>
      </c>
      <c r="C343">
        <v>24134470</v>
      </c>
      <c r="D343" t="s">
        <v>504</v>
      </c>
      <c r="E343" t="s">
        <v>13</v>
      </c>
      <c r="F343" t="s">
        <v>20</v>
      </c>
      <c r="G343">
        <v>10</v>
      </c>
      <c r="H343">
        <v>9.75</v>
      </c>
      <c r="I343">
        <v>10</v>
      </c>
      <c r="J343">
        <f>VLOOKUP(C343,exam!$D$29:$V$359,19,0)</f>
        <v>144</v>
      </c>
      <c r="K343">
        <v>10</v>
      </c>
      <c r="L343" s="43">
        <f t="shared" si="23"/>
        <v>87.75</v>
      </c>
      <c r="M343" s="43">
        <f t="shared" si="24"/>
        <v>87.75</v>
      </c>
      <c r="N343" t="str">
        <f t="shared" si="25"/>
        <v>H</v>
      </c>
    </row>
    <row r="344" spans="1:14">
      <c r="A344" t="s">
        <v>513</v>
      </c>
      <c r="B344">
        <v>110344</v>
      </c>
      <c r="C344">
        <v>24130696</v>
      </c>
      <c r="D344" t="s">
        <v>514</v>
      </c>
      <c r="E344" t="s">
        <v>13</v>
      </c>
      <c r="F344" t="s">
        <v>20</v>
      </c>
      <c r="G344">
        <v>9.5</v>
      </c>
      <c r="H344">
        <v>9.75</v>
      </c>
      <c r="I344">
        <v>10</v>
      </c>
      <c r="J344">
        <f>VLOOKUP(C344,exam!$D$29:$V$359,19,0)</f>
        <v>144.5</v>
      </c>
      <c r="K344">
        <v>10</v>
      </c>
      <c r="L344" s="43">
        <f t="shared" si="23"/>
        <v>87.416666666666657</v>
      </c>
      <c r="M344" s="43">
        <f t="shared" si="24"/>
        <v>87.416666666666657</v>
      </c>
      <c r="N344" t="str">
        <f t="shared" si="25"/>
        <v>H</v>
      </c>
    </row>
    <row r="345" spans="1:14">
      <c r="A345" t="s">
        <v>527</v>
      </c>
      <c r="B345">
        <v>107309</v>
      </c>
      <c r="C345">
        <v>24080886</v>
      </c>
      <c r="D345" t="s">
        <v>528</v>
      </c>
      <c r="E345" t="s">
        <v>13</v>
      </c>
      <c r="F345" t="s">
        <v>20</v>
      </c>
      <c r="G345">
        <v>9</v>
      </c>
      <c r="H345">
        <v>9.5</v>
      </c>
      <c r="I345">
        <v>10</v>
      </c>
      <c r="J345">
        <f>VLOOKUP(C345,exam!$D$29:$V$359,19,0)</f>
        <v>121</v>
      </c>
      <c r="K345">
        <v>10</v>
      </c>
      <c r="L345" s="43">
        <f t="shared" si="23"/>
        <v>78.833333333333343</v>
      </c>
      <c r="M345" s="43">
        <f t="shared" si="24"/>
        <v>78.833333333333343</v>
      </c>
      <c r="N345" t="str">
        <f t="shared" si="25"/>
        <v>PR</v>
      </c>
    </row>
    <row r="346" spans="1:14">
      <c r="A346" t="s">
        <v>535</v>
      </c>
      <c r="B346">
        <v>103128</v>
      </c>
      <c r="C346">
        <v>24037604</v>
      </c>
      <c r="D346" t="s">
        <v>536</v>
      </c>
      <c r="E346" t="s">
        <v>13</v>
      </c>
      <c r="F346" t="s">
        <v>20</v>
      </c>
      <c r="G346">
        <v>8</v>
      </c>
      <c r="H346">
        <v>8.25</v>
      </c>
      <c r="I346">
        <v>9</v>
      </c>
      <c r="J346">
        <f>VLOOKUP(C346,exam!$D$29:$V$359,19,0)</f>
        <v>125.5</v>
      </c>
      <c r="K346">
        <v>10</v>
      </c>
      <c r="L346" s="43">
        <f t="shared" si="23"/>
        <v>77.083333333333343</v>
      </c>
      <c r="M346" s="43">
        <f t="shared" si="24"/>
        <v>77.083333333333343</v>
      </c>
      <c r="N346" t="str">
        <f t="shared" si="25"/>
        <v>PR</v>
      </c>
    </row>
    <row r="347" spans="1:14">
      <c r="A347" t="s">
        <v>539</v>
      </c>
      <c r="B347">
        <v>107210</v>
      </c>
      <c r="C347">
        <v>24080104</v>
      </c>
      <c r="D347" t="s">
        <v>540</v>
      </c>
      <c r="E347" t="s">
        <v>13</v>
      </c>
      <c r="F347" t="s">
        <v>20</v>
      </c>
      <c r="G347">
        <v>8</v>
      </c>
      <c r="H347">
        <v>9.75</v>
      </c>
      <c r="I347">
        <v>10</v>
      </c>
      <c r="J347">
        <f>VLOOKUP(C347,exam!$D$29:$V$359,19,0)</f>
        <v>147</v>
      </c>
      <c r="K347">
        <v>10</v>
      </c>
      <c r="L347" s="43">
        <f t="shared" si="23"/>
        <v>86.75</v>
      </c>
      <c r="M347" s="43">
        <f t="shared" si="24"/>
        <v>86.75</v>
      </c>
      <c r="N347" t="str">
        <f t="shared" si="25"/>
        <v>H</v>
      </c>
    </row>
    <row r="348" spans="1:14">
      <c r="A348" t="s">
        <v>543</v>
      </c>
      <c r="B348">
        <v>103113</v>
      </c>
      <c r="C348">
        <v>24035666</v>
      </c>
      <c r="D348" t="s">
        <v>544</v>
      </c>
      <c r="E348" t="s">
        <v>13</v>
      </c>
      <c r="F348" t="s">
        <v>20</v>
      </c>
      <c r="G348">
        <v>10</v>
      </c>
      <c r="H348">
        <v>9.75</v>
      </c>
      <c r="I348">
        <v>10</v>
      </c>
      <c r="J348">
        <f>VLOOKUP(C348,exam!$D$29:$V$359,19,0)</f>
        <v>147.5</v>
      </c>
      <c r="K348">
        <v>10</v>
      </c>
      <c r="L348" s="43">
        <f t="shared" si="23"/>
        <v>88.916666666666657</v>
      </c>
      <c r="M348" s="43">
        <f t="shared" si="24"/>
        <v>88.916666666666657</v>
      </c>
      <c r="N348" t="str">
        <f t="shared" si="25"/>
        <v>H</v>
      </c>
    </row>
    <row r="349" spans="1:14">
      <c r="A349" t="s">
        <v>545</v>
      </c>
      <c r="B349">
        <v>107189</v>
      </c>
      <c r="C349">
        <v>24079985</v>
      </c>
      <c r="D349" t="s">
        <v>546</v>
      </c>
      <c r="E349" t="s">
        <v>13</v>
      </c>
      <c r="F349" t="s">
        <v>20</v>
      </c>
      <c r="G349">
        <v>6.5</v>
      </c>
      <c r="H349">
        <v>0</v>
      </c>
      <c r="J349">
        <f>VLOOKUP(C349,exam!$D$29:$V$359,19,0)</f>
        <v>84</v>
      </c>
      <c r="K349">
        <v>10</v>
      </c>
      <c r="L349" s="43">
        <f t="shared" si="23"/>
        <v>44.5</v>
      </c>
      <c r="M349" s="43">
        <f t="shared" si="24"/>
        <v>44.5</v>
      </c>
      <c r="N349" t="str">
        <f t="shared" si="25"/>
        <v>P</v>
      </c>
    </row>
    <row r="350" spans="1:14">
      <c r="A350" t="s">
        <v>569</v>
      </c>
      <c r="B350">
        <v>108703</v>
      </c>
      <c r="C350">
        <v>24103190</v>
      </c>
      <c r="D350" t="s">
        <v>570</v>
      </c>
      <c r="E350" t="s">
        <v>13</v>
      </c>
      <c r="F350" t="s">
        <v>20</v>
      </c>
      <c r="G350">
        <v>9.5</v>
      </c>
      <c r="H350">
        <v>10</v>
      </c>
      <c r="I350">
        <v>9.5</v>
      </c>
      <c r="J350">
        <f>VLOOKUP(C350,exam!$D$29:$V$359,19,0)</f>
        <v>114.5</v>
      </c>
      <c r="K350">
        <v>10</v>
      </c>
      <c r="L350" s="43">
        <f t="shared" si="23"/>
        <v>77.166666666666657</v>
      </c>
      <c r="M350" s="43">
        <f t="shared" si="24"/>
        <v>77.166666666666657</v>
      </c>
      <c r="N350" t="str">
        <f t="shared" si="25"/>
        <v>PR</v>
      </c>
    </row>
    <row r="351" spans="1:14">
      <c r="A351" t="s">
        <v>579</v>
      </c>
      <c r="B351">
        <v>103794</v>
      </c>
      <c r="C351">
        <v>24035734</v>
      </c>
      <c r="D351" t="s">
        <v>580</v>
      </c>
      <c r="E351" t="s">
        <v>13</v>
      </c>
      <c r="F351" t="s">
        <v>20</v>
      </c>
      <c r="G351">
        <v>9</v>
      </c>
      <c r="H351">
        <v>8.25</v>
      </c>
      <c r="I351">
        <v>9.5</v>
      </c>
      <c r="J351">
        <f>VLOOKUP(C351,exam!$D$29:$V$359,19,0)</f>
        <v>133</v>
      </c>
      <c r="K351">
        <v>10</v>
      </c>
      <c r="L351" s="43">
        <f t="shared" si="23"/>
        <v>81.083333333333343</v>
      </c>
      <c r="M351" s="43">
        <f t="shared" si="24"/>
        <v>81.083333333333343</v>
      </c>
      <c r="N351" t="str">
        <f t="shared" si="25"/>
        <v>PR</v>
      </c>
    </row>
    <row r="352" spans="1:14">
      <c r="A352" t="s">
        <v>601</v>
      </c>
      <c r="B352">
        <v>107612</v>
      </c>
      <c r="C352">
        <v>24086309</v>
      </c>
      <c r="D352" t="s">
        <v>602</v>
      </c>
      <c r="E352" t="s">
        <v>13</v>
      </c>
      <c r="F352" t="s">
        <v>20</v>
      </c>
      <c r="G352">
        <v>9</v>
      </c>
      <c r="H352">
        <v>9.75</v>
      </c>
      <c r="I352">
        <v>9.5</v>
      </c>
      <c r="J352">
        <f>VLOOKUP(C352,exam!$D$29:$V$359,19,0)</f>
        <v>147.5</v>
      </c>
      <c r="K352">
        <v>10</v>
      </c>
      <c r="L352" s="43">
        <f t="shared" si="23"/>
        <v>87.416666666666657</v>
      </c>
      <c r="M352" s="43">
        <f t="shared" si="24"/>
        <v>87.416666666666657</v>
      </c>
      <c r="N352" t="str">
        <f t="shared" si="25"/>
        <v>H</v>
      </c>
    </row>
    <row r="353" spans="1:14">
      <c r="A353" t="s">
        <v>623</v>
      </c>
      <c r="B353">
        <v>108212</v>
      </c>
      <c r="C353">
        <v>24094571</v>
      </c>
      <c r="D353" t="s">
        <v>624</v>
      </c>
      <c r="E353" t="s">
        <v>13</v>
      </c>
      <c r="F353" t="s">
        <v>20</v>
      </c>
      <c r="G353">
        <v>8</v>
      </c>
      <c r="H353">
        <v>8.75</v>
      </c>
      <c r="I353">
        <v>7.5</v>
      </c>
      <c r="J353">
        <f>VLOOKUP(C353,exam!$D$29:$V$359,19,0)</f>
        <v>141.5</v>
      </c>
      <c r="K353">
        <v>10</v>
      </c>
      <c r="L353" s="43">
        <f t="shared" si="23"/>
        <v>81.416666666666657</v>
      </c>
      <c r="M353" s="43">
        <f t="shared" si="24"/>
        <v>81.416666666666657</v>
      </c>
      <c r="N353" t="str">
        <f t="shared" si="25"/>
        <v>PR</v>
      </c>
    </row>
    <row r="354" spans="1:14">
      <c r="A354" t="s">
        <v>629</v>
      </c>
      <c r="B354">
        <v>113834</v>
      </c>
      <c r="C354">
        <v>24182325</v>
      </c>
      <c r="D354" t="s">
        <v>630</v>
      </c>
      <c r="E354" t="s">
        <v>13</v>
      </c>
      <c r="F354" t="s">
        <v>20</v>
      </c>
      <c r="G354">
        <v>8.5</v>
      </c>
      <c r="H354">
        <v>9.5</v>
      </c>
      <c r="I354">
        <v>9.5</v>
      </c>
      <c r="J354">
        <f>VLOOKUP(C354,exam!$D$29:$V$359,19,0)</f>
        <v>99</v>
      </c>
      <c r="K354">
        <v>10</v>
      </c>
      <c r="L354" s="43">
        <f t="shared" si="23"/>
        <v>70.5</v>
      </c>
      <c r="M354" s="43">
        <f t="shared" si="24"/>
        <v>70.5</v>
      </c>
      <c r="N354" t="str">
        <f t="shared" si="25"/>
        <v>PR</v>
      </c>
    </row>
    <row r="355" spans="1:14">
      <c r="A355" t="s">
        <v>633</v>
      </c>
      <c r="B355">
        <v>103227</v>
      </c>
      <c r="C355">
        <v>24035751</v>
      </c>
      <c r="D355" t="s">
        <v>634</v>
      </c>
      <c r="E355" t="s">
        <v>13</v>
      </c>
      <c r="F355" t="s">
        <v>20</v>
      </c>
      <c r="G355">
        <v>10</v>
      </c>
      <c r="H355">
        <v>9.75</v>
      </c>
      <c r="I355">
        <v>10</v>
      </c>
      <c r="J355">
        <f>VLOOKUP(C355,exam!$D$29:$V$359,19,0)</f>
        <v>151.5</v>
      </c>
      <c r="K355">
        <v>10</v>
      </c>
      <c r="L355" s="43">
        <f t="shared" si="23"/>
        <v>90.25</v>
      </c>
      <c r="M355" s="43">
        <f t="shared" si="24"/>
        <v>90.25</v>
      </c>
      <c r="N355" t="str">
        <f t="shared" si="25"/>
        <v>H</v>
      </c>
    </row>
    <row r="356" spans="1:14">
      <c r="A356" t="s">
        <v>649</v>
      </c>
      <c r="B356">
        <v>109954</v>
      </c>
      <c r="C356">
        <v>24122825</v>
      </c>
      <c r="D356" t="s">
        <v>650</v>
      </c>
      <c r="E356" t="s">
        <v>13</v>
      </c>
      <c r="F356" t="s">
        <v>20</v>
      </c>
      <c r="G356">
        <v>9.5</v>
      </c>
      <c r="H356">
        <v>9.5</v>
      </c>
      <c r="I356">
        <v>9.5</v>
      </c>
      <c r="J356">
        <f>VLOOKUP(C356,exam!$D$29:$V$359,19,0)</f>
        <v>118</v>
      </c>
      <c r="K356">
        <v>10</v>
      </c>
      <c r="L356" s="43">
        <f t="shared" si="23"/>
        <v>77.833333333333343</v>
      </c>
      <c r="M356" s="43">
        <f t="shared" si="24"/>
        <v>77.833333333333343</v>
      </c>
      <c r="N356" t="str">
        <f t="shared" si="25"/>
        <v>PR</v>
      </c>
    </row>
    <row r="357" spans="1:14">
      <c r="A357" t="s">
        <v>655</v>
      </c>
      <c r="B357">
        <v>111083</v>
      </c>
      <c r="C357">
        <v>24142120</v>
      </c>
      <c r="D357" t="s">
        <v>656</v>
      </c>
      <c r="E357" t="s">
        <v>13</v>
      </c>
      <c r="F357" t="s">
        <v>20</v>
      </c>
      <c r="G357">
        <v>9</v>
      </c>
      <c r="H357">
        <v>8.75</v>
      </c>
      <c r="I357">
        <v>10</v>
      </c>
      <c r="J357">
        <f>VLOOKUP(C357,exam!$D$29:$V$359,19,0)</f>
        <v>120</v>
      </c>
      <c r="K357">
        <v>10</v>
      </c>
      <c r="L357" s="43">
        <f t="shared" si="23"/>
        <v>77.75</v>
      </c>
      <c r="M357" s="43">
        <f t="shared" si="24"/>
        <v>77.75</v>
      </c>
      <c r="N357" t="str">
        <f t="shared" si="25"/>
        <v>PR</v>
      </c>
    </row>
    <row r="358" spans="1:14">
      <c r="A358" t="s">
        <v>665</v>
      </c>
      <c r="B358">
        <v>109877</v>
      </c>
      <c r="C358">
        <v>24122723</v>
      </c>
      <c r="D358" t="s">
        <v>666</v>
      </c>
      <c r="E358" t="s">
        <v>13</v>
      </c>
      <c r="F358" t="s">
        <v>20</v>
      </c>
      <c r="G358">
        <v>9</v>
      </c>
      <c r="H358">
        <v>9</v>
      </c>
      <c r="I358">
        <v>10</v>
      </c>
      <c r="J358">
        <f>VLOOKUP(C358,exam!$D$29:$V$359,19,0)</f>
        <v>124</v>
      </c>
      <c r="K358">
        <v>10</v>
      </c>
      <c r="L358" s="43">
        <f t="shared" si="23"/>
        <v>79.333333333333343</v>
      </c>
      <c r="M358" s="43">
        <f t="shared" si="24"/>
        <v>79.333333333333343</v>
      </c>
      <c r="N358" t="str">
        <f t="shared" si="25"/>
        <v>PR</v>
      </c>
    </row>
    <row r="359" spans="1:14">
      <c r="A359" t="s">
        <v>681</v>
      </c>
      <c r="B359">
        <v>108753</v>
      </c>
      <c r="C359">
        <v>24102867</v>
      </c>
      <c r="D359" t="s">
        <v>682</v>
      </c>
      <c r="E359" t="s">
        <v>13</v>
      </c>
      <c r="F359" t="s">
        <v>20</v>
      </c>
      <c r="G359">
        <v>10</v>
      </c>
      <c r="H359">
        <v>9.75</v>
      </c>
      <c r="I359">
        <v>10</v>
      </c>
      <c r="J359">
        <f>VLOOKUP(C359,exam!$D$29:$V$359,19,0)</f>
        <v>114</v>
      </c>
      <c r="K359">
        <v>10</v>
      </c>
      <c r="L359" s="43">
        <f t="shared" si="23"/>
        <v>77.75</v>
      </c>
      <c r="M359" s="43">
        <f t="shared" si="24"/>
        <v>77.75</v>
      </c>
      <c r="N359" t="str">
        <f t="shared" si="25"/>
        <v>PR</v>
      </c>
    </row>
    <row r="360" spans="1:14">
      <c r="A360" t="s">
        <v>685</v>
      </c>
      <c r="B360">
        <v>31505</v>
      </c>
      <c r="C360">
        <v>17137564</v>
      </c>
      <c r="D360" t="s">
        <v>686</v>
      </c>
      <c r="E360" t="s">
        <v>13</v>
      </c>
      <c r="F360" t="s">
        <v>20</v>
      </c>
      <c r="G360">
        <v>8</v>
      </c>
      <c r="H360">
        <v>8</v>
      </c>
      <c r="I360">
        <v>10</v>
      </c>
      <c r="J360">
        <f>VLOOKUP(C360,exam!$D$29:$V$359,19,0)</f>
        <v>149</v>
      </c>
      <c r="K360">
        <v>10</v>
      </c>
      <c r="L360" s="43">
        <f t="shared" si="23"/>
        <v>85.666666666666657</v>
      </c>
      <c r="M360" s="43">
        <f t="shared" si="24"/>
        <v>85.666666666666657</v>
      </c>
      <c r="N360" t="str">
        <f t="shared" si="25"/>
        <v>H</v>
      </c>
    </row>
    <row r="361" spans="1:14">
      <c r="A361" t="s">
        <v>723</v>
      </c>
      <c r="B361">
        <v>107961</v>
      </c>
      <c r="C361">
        <v>24092735</v>
      </c>
      <c r="D361" t="s">
        <v>724</v>
      </c>
      <c r="E361" t="s">
        <v>13</v>
      </c>
      <c r="F361" t="s">
        <v>20</v>
      </c>
      <c r="G361">
        <v>10</v>
      </c>
      <c r="H361">
        <v>9.75</v>
      </c>
      <c r="I361">
        <v>10</v>
      </c>
      <c r="J361">
        <f>VLOOKUP(C361,exam!$D$29:$V$359,19,0)</f>
        <v>142</v>
      </c>
      <c r="K361">
        <v>10</v>
      </c>
      <c r="L361" s="43">
        <f t="shared" si="23"/>
        <v>87.083333333333343</v>
      </c>
      <c r="M361" s="43">
        <f t="shared" si="24"/>
        <v>87.083333333333343</v>
      </c>
      <c r="N361" t="str">
        <f t="shared" si="25"/>
        <v>H</v>
      </c>
    </row>
    <row r="362" spans="1:14">
      <c r="A362" t="s">
        <v>729</v>
      </c>
      <c r="B362">
        <v>109124</v>
      </c>
      <c r="C362">
        <v>24111010</v>
      </c>
      <c r="D362" t="s">
        <v>730</v>
      </c>
      <c r="E362" t="s">
        <v>13</v>
      </c>
      <c r="F362" t="s">
        <v>20</v>
      </c>
      <c r="G362">
        <v>10</v>
      </c>
      <c r="H362">
        <v>8.75</v>
      </c>
      <c r="I362">
        <v>8</v>
      </c>
      <c r="J362">
        <f>VLOOKUP(C362,exam!$D$29:$V$359,19,0)</f>
        <v>176.5</v>
      </c>
      <c r="K362">
        <v>10</v>
      </c>
      <c r="L362" s="43">
        <f t="shared" si="23"/>
        <v>95.583333333333343</v>
      </c>
      <c r="M362" s="43">
        <f t="shared" si="24"/>
        <v>95.583333333333343</v>
      </c>
      <c r="N362" t="str">
        <f t="shared" si="25"/>
        <v>HH</v>
      </c>
    </row>
    <row r="364" spans="1:14">
      <c r="G364" t="s">
        <v>767</v>
      </c>
      <c r="J364">
        <f>COUNTBLANK(M4:M361)</f>
        <v>24</v>
      </c>
      <c r="K364" t="s">
        <v>755</v>
      </c>
      <c r="M364">
        <f>AVERAGE(M4:M361)</f>
        <v>80.360728542914146</v>
      </c>
    </row>
    <row r="365" spans="1:14">
      <c r="K365" t="s">
        <v>756</v>
      </c>
      <c r="M365">
        <f>MEDIAN(M4:M361)</f>
        <v>81.416666666666657</v>
      </c>
    </row>
    <row r="366" spans="1:14">
      <c r="K366" t="s">
        <v>768</v>
      </c>
      <c r="M366">
        <f>M364-3*STDEV(M4:M361)</f>
        <v>50.563570118601476</v>
      </c>
    </row>
  </sheetData>
  <sortState ref="A4:N362">
    <sortCondition ref="F4:F362"/>
    <sortCondition ref="A4:A3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4"/>
  <sheetViews>
    <sheetView workbookViewId="0">
      <selection activeCell="I11" sqref="I11"/>
    </sheetView>
  </sheetViews>
  <sheetFormatPr defaultRowHeight="14.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3" spans="1:7">
      <c r="A3" t="s">
        <v>10</v>
      </c>
      <c r="G3">
        <v>180</v>
      </c>
    </row>
    <row r="4" spans="1:7">
      <c r="A4" t="s">
        <v>705</v>
      </c>
      <c r="B4">
        <v>107311</v>
      </c>
      <c r="C4">
        <v>24080903</v>
      </c>
      <c r="D4" t="s">
        <v>706</v>
      </c>
      <c r="E4" t="s">
        <v>13</v>
      </c>
      <c r="F4" t="s">
        <v>40</v>
      </c>
      <c r="G4">
        <v>42.5</v>
      </c>
    </row>
    <row r="5" spans="1:7">
      <c r="A5" t="s">
        <v>149</v>
      </c>
      <c r="B5">
        <v>107593</v>
      </c>
      <c r="C5">
        <v>24086258</v>
      </c>
      <c r="D5" t="s">
        <v>150</v>
      </c>
      <c r="E5" t="s">
        <v>13</v>
      </c>
      <c r="F5" t="s">
        <v>20</v>
      </c>
      <c r="G5">
        <v>51</v>
      </c>
    </row>
    <row r="6" spans="1:7">
      <c r="A6" t="s">
        <v>41</v>
      </c>
      <c r="B6">
        <v>109628</v>
      </c>
      <c r="C6">
        <v>24119612</v>
      </c>
      <c r="D6" t="s">
        <v>42</v>
      </c>
      <c r="E6" t="s">
        <v>13</v>
      </c>
      <c r="F6" t="s">
        <v>14</v>
      </c>
      <c r="G6">
        <v>61</v>
      </c>
    </row>
    <row r="7" spans="1:7">
      <c r="A7" t="s">
        <v>335</v>
      </c>
      <c r="B7">
        <v>113847</v>
      </c>
      <c r="C7">
        <v>24182308</v>
      </c>
      <c r="D7" t="s">
        <v>336</v>
      </c>
      <c r="E7" t="s">
        <v>13</v>
      </c>
      <c r="F7" t="s">
        <v>14</v>
      </c>
      <c r="G7">
        <v>62</v>
      </c>
    </row>
    <row r="8" spans="1:7">
      <c r="A8" t="s">
        <v>293</v>
      </c>
      <c r="B8">
        <v>109871</v>
      </c>
      <c r="C8">
        <v>24122910</v>
      </c>
      <c r="D8" t="s">
        <v>294</v>
      </c>
      <c r="E8" t="s">
        <v>13</v>
      </c>
      <c r="F8" t="s">
        <v>27</v>
      </c>
      <c r="G8">
        <v>67</v>
      </c>
    </row>
    <row r="9" spans="1:7">
      <c r="A9" t="s">
        <v>515</v>
      </c>
      <c r="B9">
        <v>33901</v>
      </c>
      <c r="C9">
        <v>15904474</v>
      </c>
      <c r="D9" t="s">
        <v>516</v>
      </c>
      <c r="E9" t="s">
        <v>13</v>
      </c>
      <c r="F9" t="s">
        <v>40</v>
      </c>
      <c r="G9">
        <v>73.5</v>
      </c>
    </row>
    <row r="10" spans="1:7">
      <c r="A10" t="s">
        <v>587</v>
      </c>
      <c r="B10">
        <v>104099</v>
      </c>
      <c r="C10">
        <v>24012359</v>
      </c>
      <c r="D10" t="s">
        <v>588</v>
      </c>
      <c r="E10" t="s">
        <v>13</v>
      </c>
      <c r="F10" t="s">
        <v>17</v>
      </c>
      <c r="G10">
        <v>74</v>
      </c>
    </row>
    <row r="11" spans="1:7">
      <c r="A11" t="s">
        <v>341</v>
      </c>
      <c r="B11">
        <v>104341</v>
      </c>
      <c r="C11">
        <v>24036159</v>
      </c>
      <c r="D11" t="s">
        <v>342</v>
      </c>
      <c r="E11" t="s">
        <v>13</v>
      </c>
      <c r="F11" t="s">
        <v>14</v>
      </c>
      <c r="G11">
        <v>76</v>
      </c>
    </row>
    <row r="12" spans="1:7">
      <c r="A12" t="s">
        <v>75</v>
      </c>
      <c r="B12">
        <v>104517</v>
      </c>
      <c r="C12">
        <v>24036261</v>
      </c>
      <c r="D12" t="s">
        <v>76</v>
      </c>
      <c r="E12" t="s">
        <v>13</v>
      </c>
      <c r="F12" t="s">
        <v>40</v>
      </c>
      <c r="G12">
        <v>79</v>
      </c>
    </row>
    <row r="13" spans="1:7">
      <c r="A13" t="s">
        <v>205</v>
      </c>
      <c r="B13">
        <v>109908</v>
      </c>
      <c r="C13">
        <v>24122689</v>
      </c>
      <c r="D13" t="s">
        <v>206</v>
      </c>
      <c r="E13" t="s">
        <v>13</v>
      </c>
      <c r="F13" t="s">
        <v>20</v>
      </c>
      <c r="G13">
        <v>79</v>
      </c>
    </row>
    <row r="14" spans="1:7">
      <c r="A14" t="s">
        <v>401</v>
      </c>
      <c r="B14">
        <v>104048</v>
      </c>
      <c r="C14">
        <v>24037536</v>
      </c>
      <c r="D14" t="s">
        <v>402</v>
      </c>
      <c r="E14" t="s">
        <v>13</v>
      </c>
      <c r="F14" t="s">
        <v>40</v>
      </c>
      <c r="G14">
        <v>80</v>
      </c>
    </row>
    <row r="15" spans="1:7">
      <c r="A15" t="s">
        <v>525</v>
      </c>
      <c r="B15">
        <v>109996</v>
      </c>
      <c r="C15">
        <v>24124338</v>
      </c>
      <c r="D15" t="s">
        <v>526</v>
      </c>
      <c r="E15" t="s">
        <v>13</v>
      </c>
      <c r="F15" t="s">
        <v>40</v>
      </c>
      <c r="G15">
        <v>80</v>
      </c>
    </row>
    <row r="16" spans="1:7">
      <c r="A16" t="s">
        <v>491</v>
      </c>
      <c r="B16">
        <v>109738</v>
      </c>
      <c r="C16">
        <v>24118065</v>
      </c>
      <c r="D16" t="s">
        <v>492</v>
      </c>
      <c r="E16" t="s">
        <v>13</v>
      </c>
      <c r="F16" t="s">
        <v>27</v>
      </c>
      <c r="G16">
        <v>81</v>
      </c>
    </row>
    <row r="17" spans="1:7">
      <c r="A17" t="s">
        <v>441</v>
      </c>
      <c r="B17">
        <v>111179</v>
      </c>
      <c r="C17">
        <v>24143752</v>
      </c>
      <c r="D17" t="s">
        <v>442</v>
      </c>
      <c r="E17" t="s">
        <v>13</v>
      </c>
      <c r="F17" t="s">
        <v>14</v>
      </c>
      <c r="G17">
        <v>83</v>
      </c>
    </row>
    <row r="18" spans="1:7">
      <c r="A18" t="s">
        <v>545</v>
      </c>
      <c r="B18">
        <v>107189</v>
      </c>
      <c r="C18">
        <v>24079985</v>
      </c>
      <c r="D18" t="s">
        <v>546</v>
      </c>
      <c r="E18" t="s">
        <v>13</v>
      </c>
      <c r="F18" t="s">
        <v>20</v>
      </c>
      <c r="G18">
        <v>84</v>
      </c>
    </row>
    <row r="19" spans="1:7">
      <c r="A19" t="s">
        <v>417</v>
      </c>
      <c r="B19">
        <v>113501</v>
      </c>
      <c r="C19">
        <v>24176511</v>
      </c>
      <c r="D19" t="s">
        <v>418</v>
      </c>
      <c r="E19" t="s">
        <v>13</v>
      </c>
      <c r="F19" t="s">
        <v>20</v>
      </c>
      <c r="G19">
        <v>85</v>
      </c>
    </row>
    <row r="20" spans="1:7">
      <c r="A20" t="s">
        <v>471</v>
      </c>
      <c r="B20">
        <v>108679</v>
      </c>
      <c r="C20">
        <v>24103156</v>
      </c>
      <c r="D20" t="s">
        <v>472</v>
      </c>
      <c r="E20" t="s">
        <v>13</v>
      </c>
      <c r="F20" t="s">
        <v>17</v>
      </c>
      <c r="G20">
        <v>85</v>
      </c>
    </row>
    <row r="21" spans="1:7">
      <c r="A21" t="s">
        <v>301</v>
      </c>
      <c r="B21">
        <v>59652</v>
      </c>
      <c r="C21">
        <v>17242930</v>
      </c>
      <c r="D21" t="s">
        <v>302</v>
      </c>
      <c r="E21" t="s">
        <v>13</v>
      </c>
      <c r="F21" t="s">
        <v>17</v>
      </c>
      <c r="G21">
        <v>85.5</v>
      </c>
    </row>
    <row r="22" spans="1:7">
      <c r="A22" t="s">
        <v>93</v>
      </c>
      <c r="B22">
        <v>104245</v>
      </c>
      <c r="C22">
        <v>24036176</v>
      </c>
      <c r="D22" t="s">
        <v>94</v>
      </c>
      <c r="E22" t="s">
        <v>13</v>
      </c>
      <c r="F22" t="s">
        <v>27</v>
      </c>
      <c r="G22">
        <v>86</v>
      </c>
    </row>
    <row r="23" spans="1:7">
      <c r="A23" t="s">
        <v>721</v>
      </c>
      <c r="B23">
        <v>113610</v>
      </c>
      <c r="C23">
        <v>24178211</v>
      </c>
      <c r="D23" t="s">
        <v>722</v>
      </c>
      <c r="E23" t="s">
        <v>13</v>
      </c>
      <c r="F23" t="s">
        <v>27</v>
      </c>
      <c r="G23">
        <v>86.5</v>
      </c>
    </row>
    <row r="24" spans="1:7">
      <c r="A24" t="s">
        <v>28</v>
      </c>
      <c r="B24">
        <v>107576</v>
      </c>
      <c r="C24">
        <v>24086292</v>
      </c>
      <c r="D24" t="s">
        <v>29</v>
      </c>
      <c r="E24" t="s">
        <v>13</v>
      </c>
      <c r="F24" t="s">
        <v>17</v>
      </c>
      <c r="G24">
        <v>88.5</v>
      </c>
    </row>
    <row r="25" spans="1:7">
      <c r="A25" t="s">
        <v>51</v>
      </c>
      <c r="B25">
        <v>103696</v>
      </c>
      <c r="C25">
        <v>24037417</v>
      </c>
      <c r="D25" t="s">
        <v>52</v>
      </c>
      <c r="E25" t="s">
        <v>13</v>
      </c>
      <c r="F25" t="s">
        <v>27</v>
      </c>
      <c r="G25">
        <v>89</v>
      </c>
    </row>
    <row r="26" spans="1:7">
      <c r="A26" t="s">
        <v>71</v>
      </c>
      <c r="B26">
        <v>107153</v>
      </c>
      <c r="C26">
        <v>24079475</v>
      </c>
      <c r="D26" t="s">
        <v>72</v>
      </c>
      <c r="E26" t="s">
        <v>13</v>
      </c>
      <c r="F26" t="s">
        <v>27</v>
      </c>
      <c r="G26">
        <v>89.5</v>
      </c>
    </row>
    <row r="27" spans="1:7">
      <c r="A27" t="s">
        <v>461</v>
      </c>
      <c r="B27">
        <v>113867</v>
      </c>
      <c r="C27">
        <v>24182291</v>
      </c>
      <c r="D27" t="s">
        <v>462</v>
      </c>
      <c r="E27" t="s">
        <v>13</v>
      </c>
      <c r="F27" t="s">
        <v>14</v>
      </c>
      <c r="G27">
        <v>89.5</v>
      </c>
    </row>
    <row r="28" spans="1:7">
      <c r="A28" t="s">
        <v>55</v>
      </c>
      <c r="B28">
        <v>112936</v>
      </c>
      <c r="C28">
        <v>24168810</v>
      </c>
      <c r="D28" t="s">
        <v>56</v>
      </c>
      <c r="E28" t="s">
        <v>13</v>
      </c>
      <c r="F28" t="s">
        <v>27</v>
      </c>
      <c r="G28">
        <v>90</v>
      </c>
    </row>
    <row r="29" spans="1:7">
      <c r="A29" t="s">
        <v>65</v>
      </c>
      <c r="B29">
        <v>111189</v>
      </c>
      <c r="C29">
        <v>24143718</v>
      </c>
      <c r="D29" t="s">
        <v>66</v>
      </c>
      <c r="E29" t="s">
        <v>13</v>
      </c>
      <c r="F29" t="s">
        <v>40</v>
      </c>
      <c r="G29">
        <v>90.5</v>
      </c>
    </row>
    <row r="30" spans="1:7">
      <c r="A30" t="s">
        <v>647</v>
      </c>
      <c r="B30">
        <v>107607</v>
      </c>
      <c r="C30">
        <v>24086377</v>
      </c>
      <c r="D30" t="s">
        <v>648</v>
      </c>
      <c r="E30" t="s">
        <v>13</v>
      </c>
      <c r="F30" t="s">
        <v>27</v>
      </c>
      <c r="G30">
        <v>91.5</v>
      </c>
    </row>
    <row r="31" spans="1:7">
      <c r="A31" t="s">
        <v>32</v>
      </c>
      <c r="B31">
        <v>107650</v>
      </c>
      <c r="C31">
        <v>24084898</v>
      </c>
      <c r="D31" t="s">
        <v>33</v>
      </c>
      <c r="E31" t="s">
        <v>13</v>
      </c>
      <c r="F31" t="s">
        <v>14</v>
      </c>
      <c r="G31">
        <v>92</v>
      </c>
    </row>
    <row r="32" spans="1:7">
      <c r="A32" t="s">
        <v>375</v>
      </c>
      <c r="B32">
        <v>103096</v>
      </c>
      <c r="C32">
        <v>24036023</v>
      </c>
      <c r="D32" t="s">
        <v>376</v>
      </c>
      <c r="E32" t="s">
        <v>13</v>
      </c>
      <c r="F32" t="s">
        <v>40</v>
      </c>
      <c r="G32">
        <v>93.5</v>
      </c>
    </row>
    <row r="33" spans="1:7">
      <c r="A33" t="s">
        <v>677</v>
      </c>
      <c r="B33">
        <v>103259</v>
      </c>
      <c r="C33">
        <v>24036414</v>
      </c>
      <c r="D33" t="s">
        <v>678</v>
      </c>
      <c r="E33" t="s">
        <v>13</v>
      </c>
      <c r="F33" t="s">
        <v>40</v>
      </c>
      <c r="G33">
        <v>94</v>
      </c>
    </row>
    <row r="34" spans="1:7">
      <c r="A34" t="s">
        <v>563</v>
      </c>
      <c r="B34">
        <v>86824</v>
      </c>
      <c r="C34">
        <v>17530655</v>
      </c>
      <c r="D34" t="s">
        <v>564</v>
      </c>
      <c r="E34" t="s">
        <v>13</v>
      </c>
      <c r="F34" t="s">
        <v>14</v>
      </c>
      <c r="G34">
        <v>94.5</v>
      </c>
    </row>
    <row r="35" spans="1:7">
      <c r="A35" t="s">
        <v>169</v>
      </c>
      <c r="B35">
        <v>83336</v>
      </c>
      <c r="C35">
        <v>17483548</v>
      </c>
      <c r="D35" t="s">
        <v>170</v>
      </c>
      <c r="E35" t="s">
        <v>13</v>
      </c>
      <c r="F35" t="s">
        <v>27</v>
      </c>
      <c r="G35">
        <v>95.5</v>
      </c>
    </row>
    <row r="36" spans="1:7">
      <c r="A36" t="s">
        <v>697</v>
      </c>
      <c r="B36">
        <v>112442</v>
      </c>
      <c r="C36">
        <v>24162962</v>
      </c>
      <c r="D36" t="s">
        <v>698</v>
      </c>
      <c r="E36" t="s">
        <v>13</v>
      </c>
      <c r="F36" t="s">
        <v>27</v>
      </c>
      <c r="G36">
        <v>95.5</v>
      </c>
    </row>
    <row r="37" spans="1:7">
      <c r="A37" t="s">
        <v>197</v>
      </c>
      <c r="B37">
        <v>107176</v>
      </c>
      <c r="C37">
        <v>24080002</v>
      </c>
      <c r="D37" t="s">
        <v>198</v>
      </c>
      <c r="E37" t="s">
        <v>13</v>
      </c>
      <c r="F37" t="s">
        <v>40</v>
      </c>
      <c r="G37">
        <v>96.5</v>
      </c>
    </row>
    <row r="38" spans="1:7">
      <c r="A38" t="s">
        <v>207</v>
      </c>
      <c r="B38">
        <v>109595</v>
      </c>
      <c r="C38">
        <v>24119714</v>
      </c>
      <c r="D38" t="s">
        <v>208</v>
      </c>
      <c r="E38" t="s">
        <v>13</v>
      </c>
      <c r="F38" t="s">
        <v>14</v>
      </c>
      <c r="G38">
        <v>98.5</v>
      </c>
    </row>
    <row r="39" spans="1:7">
      <c r="A39" t="s">
        <v>629</v>
      </c>
      <c r="B39">
        <v>113834</v>
      </c>
      <c r="C39">
        <v>24182325</v>
      </c>
      <c r="D39" t="s">
        <v>630</v>
      </c>
      <c r="E39" t="s">
        <v>13</v>
      </c>
      <c r="F39" t="s">
        <v>20</v>
      </c>
      <c r="G39">
        <v>99</v>
      </c>
    </row>
    <row r="40" spans="1:7">
      <c r="A40" t="s">
        <v>383</v>
      </c>
      <c r="B40">
        <v>112173</v>
      </c>
      <c r="C40">
        <v>24158525</v>
      </c>
      <c r="D40" t="s">
        <v>384</v>
      </c>
      <c r="E40" t="s">
        <v>13</v>
      </c>
      <c r="F40" t="s">
        <v>40</v>
      </c>
      <c r="G40">
        <v>99.5</v>
      </c>
    </row>
    <row r="41" spans="1:7">
      <c r="A41" t="s">
        <v>215</v>
      </c>
      <c r="B41">
        <v>111477</v>
      </c>
      <c r="C41">
        <v>24149192</v>
      </c>
      <c r="D41" t="s">
        <v>216</v>
      </c>
      <c r="E41" t="s">
        <v>13</v>
      </c>
      <c r="F41" t="s">
        <v>17</v>
      </c>
      <c r="G41">
        <v>100</v>
      </c>
    </row>
    <row r="42" spans="1:7">
      <c r="A42" t="s">
        <v>485</v>
      </c>
      <c r="B42">
        <v>104454</v>
      </c>
      <c r="C42">
        <v>24035768</v>
      </c>
      <c r="D42" t="s">
        <v>486</v>
      </c>
      <c r="E42" t="s">
        <v>13</v>
      </c>
      <c r="F42" t="s">
        <v>17</v>
      </c>
      <c r="G42">
        <v>100</v>
      </c>
    </row>
    <row r="43" spans="1:7">
      <c r="A43" t="s">
        <v>667</v>
      </c>
      <c r="B43">
        <v>114085</v>
      </c>
      <c r="C43">
        <v>24185759</v>
      </c>
      <c r="D43" t="s">
        <v>668</v>
      </c>
      <c r="E43" t="s">
        <v>13</v>
      </c>
      <c r="F43" t="s">
        <v>17</v>
      </c>
      <c r="G43">
        <v>101</v>
      </c>
    </row>
    <row r="44" spans="1:7">
      <c r="A44" t="s">
        <v>95</v>
      </c>
      <c r="B44">
        <v>112935</v>
      </c>
      <c r="C44">
        <v>24168827</v>
      </c>
      <c r="D44" t="s">
        <v>96</v>
      </c>
      <c r="E44" t="s">
        <v>13</v>
      </c>
      <c r="F44" t="s">
        <v>27</v>
      </c>
      <c r="G44">
        <v>101.5</v>
      </c>
    </row>
    <row r="45" spans="1:7">
      <c r="A45" t="s">
        <v>30</v>
      </c>
      <c r="B45">
        <v>107186</v>
      </c>
      <c r="C45">
        <v>24079883</v>
      </c>
      <c r="D45" t="s">
        <v>31</v>
      </c>
      <c r="E45" t="s">
        <v>13</v>
      </c>
      <c r="F45" t="s">
        <v>17</v>
      </c>
      <c r="G45">
        <v>102.5</v>
      </c>
    </row>
    <row r="46" spans="1:7">
      <c r="A46" t="s">
        <v>295</v>
      </c>
      <c r="B46">
        <v>104495</v>
      </c>
      <c r="C46">
        <v>24036397</v>
      </c>
      <c r="D46" t="s">
        <v>296</v>
      </c>
      <c r="E46" t="s">
        <v>13</v>
      </c>
      <c r="F46" t="s">
        <v>40</v>
      </c>
      <c r="G46">
        <v>102.5</v>
      </c>
    </row>
    <row r="47" spans="1:7">
      <c r="A47" t="s">
        <v>433</v>
      </c>
      <c r="B47">
        <v>104603</v>
      </c>
      <c r="C47">
        <v>24035972</v>
      </c>
      <c r="D47" t="s">
        <v>434</v>
      </c>
      <c r="E47" t="s">
        <v>13</v>
      </c>
      <c r="F47" t="s">
        <v>14</v>
      </c>
      <c r="G47">
        <v>102.5</v>
      </c>
    </row>
    <row r="48" spans="1:7">
      <c r="A48" t="s">
        <v>517</v>
      </c>
      <c r="B48">
        <v>108653</v>
      </c>
      <c r="C48">
        <v>24102969</v>
      </c>
      <c r="D48" t="s">
        <v>518</v>
      </c>
      <c r="E48" t="s">
        <v>13</v>
      </c>
      <c r="F48" t="s">
        <v>40</v>
      </c>
      <c r="G48">
        <v>102.5</v>
      </c>
    </row>
    <row r="49" spans="1:7">
      <c r="A49" t="s">
        <v>23</v>
      </c>
      <c r="B49">
        <v>109578</v>
      </c>
      <c r="C49">
        <v>24119544</v>
      </c>
      <c r="D49" t="s">
        <v>24</v>
      </c>
      <c r="E49" t="s">
        <v>13</v>
      </c>
      <c r="F49" t="s">
        <v>20</v>
      </c>
      <c r="G49">
        <v>103</v>
      </c>
    </row>
    <row r="50" spans="1:7">
      <c r="A50" t="s">
        <v>49</v>
      </c>
      <c r="B50">
        <v>106391</v>
      </c>
      <c r="C50">
        <v>24065994</v>
      </c>
      <c r="D50" t="s">
        <v>50</v>
      </c>
      <c r="E50" t="s">
        <v>13</v>
      </c>
      <c r="F50" t="s">
        <v>40</v>
      </c>
      <c r="G50">
        <v>103</v>
      </c>
    </row>
    <row r="51" spans="1:7">
      <c r="A51" t="s">
        <v>87</v>
      </c>
      <c r="B51">
        <v>109783</v>
      </c>
      <c r="C51">
        <v>24119731</v>
      </c>
      <c r="D51" t="s">
        <v>88</v>
      </c>
      <c r="E51" t="s">
        <v>13</v>
      </c>
      <c r="F51" t="s">
        <v>20</v>
      </c>
      <c r="G51">
        <v>103</v>
      </c>
    </row>
    <row r="52" spans="1:7">
      <c r="A52" t="s">
        <v>183</v>
      </c>
      <c r="B52">
        <v>16434</v>
      </c>
      <c r="C52">
        <v>17139179</v>
      </c>
      <c r="D52" t="s">
        <v>184</v>
      </c>
      <c r="E52" t="s">
        <v>13</v>
      </c>
      <c r="F52" t="s">
        <v>40</v>
      </c>
      <c r="G52">
        <v>103.5</v>
      </c>
    </row>
    <row r="53" spans="1:7">
      <c r="A53" t="s">
        <v>597</v>
      </c>
      <c r="B53">
        <v>85672</v>
      </c>
      <c r="C53">
        <v>17513978</v>
      </c>
      <c r="D53" t="s">
        <v>598</v>
      </c>
      <c r="E53" t="s">
        <v>13</v>
      </c>
      <c r="F53" t="s">
        <v>27</v>
      </c>
      <c r="G53">
        <v>104</v>
      </c>
    </row>
    <row r="54" spans="1:7">
      <c r="A54" t="s">
        <v>63</v>
      </c>
      <c r="B54">
        <v>103838</v>
      </c>
      <c r="C54">
        <v>24036006</v>
      </c>
      <c r="D54" t="s">
        <v>64</v>
      </c>
      <c r="E54" t="s">
        <v>13</v>
      </c>
      <c r="F54" t="s">
        <v>17</v>
      </c>
      <c r="G54">
        <v>104.5</v>
      </c>
    </row>
    <row r="55" spans="1:7">
      <c r="A55" t="s">
        <v>105</v>
      </c>
      <c r="B55">
        <v>113497</v>
      </c>
      <c r="C55">
        <v>24176528</v>
      </c>
      <c r="D55" t="s">
        <v>106</v>
      </c>
      <c r="E55" t="s">
        <v>13</v>
      </c>
      <c r="F55" t="s">
        <v>14</v>
      </c>
      <c r="G55">
        <v>104.5</v>
      </c>
    </row>
    <row r="56" spans="1:7">
      <c r="A56" t="s">
        <v>537</v>
      </c>
      <c r="B56">
        <v>112217</v>
      </c>
      <c r="C56">
        <v>24158440</v>
      </c>
      <c r="D56" t="s">
        <v>538</v>
      </c>
      <c r="E56" t="s">
        <v>13</v>
      </c>
      <c r="F56" t="s">
        <v>14</v>
      </c>
      <c r="G56">
        <v>105</v>
      </c>
    </row>
    <row r="57" spans="1:7">
      <c r="A57" t="s">
        <v>171</v>
      </c>
      <c r="B57">
        <v>113591</v>
      </c>
      <c r="C57">
        <v>24178177</v>
      </c>
      <c r="D57" t="s">
        <v>172</v>
      </c>
      <c r="E57" t="s">
        <v>13</v>
      </c>
      <c r="F57" t="s">
        <v>20</v>
      </c>
      <c r="G57">
        <v>105.5</v>
      </c>
    </row>
    <row r="58" spans="1:7">
      <c r="A58" t="s">
        <v>177</v>
      </c>
      <c r="B58">
        <v>103445</v>
      </c>
      <c r="C58">
        <v>24037451</v>
      </c>
      <c r="D58" t="s">
        <v>178</v>
      </c>
      <c r="E58" t="s">
        <v>13</v>
      </c>
      <c r="F58" t="s">
        <v>27</v>
      </c>
      <c r="G58">
        <v>105.5</v>
      </c>
    </row>
    <row r="59" spans="1:7">
      <c r="A59" t="s">
        <v>36</v>
      </c>
      <c r="B59">
        <v>113866</v>
      </c>
      <c r="C59">
        <v>24182002</v>
      </c>
      <c r="D59" t="s">
        <v>37</v>
      </c>
      <c r="E59" t="s">
        <v>13</v>
      </c>
      <c r="F59" t="s">
        <v>17</v>
      </c>
      <c r="G59">
        <v>106</v>
      </c>
    </row>
    <row r="60" spans="1:7">
      <c r="A60" t="s">
        <v>175</v>
      </c>
      <c r="B60">
        <v>107348</v>
      </c>
      <c r="C60">
        <v>24082467</v>
      </c>
      <c r="D60" t="s">
        <v>176</v>
      </c>
      <c r="E60" t="s">
        <v>13</v>
      </c>
      <c r="F60" t="s">
        <v>20</v>
      </c>
      <c r="G60">
        <v>106</v>
      </c>
    </row>
    <row r="61" spans="1:7">
      <c r="A61" t="s">
        <v>611</v>
      </c>
      <c r="B61">
        <v>109626</v>
      </c>
      <c r="C61">
        <v>24117980</v>
      </c>
      <c r="D61" t="s">
        <v>612</v>
      </c>
      <c r="E61" t="s">
        <v>13</v>
      </c>
      <c r="F61" t="s">
        <v>27</v>
      </c>
      <c r="G61">
        <v>107</v>
      </c>
    </row>
    <row r="62" spans="1:7">
      <c r="A62" t="s">
        <v>637</v>
      </c>
      <c r="B62">
        <v>65383</v>
      </c>
      <c r="C62">
        <v>17333914</v>
      </c>
      <c r="D62" t="s">
        <v>638</v>
      </c>
      <c r="E62" t="s">
        <v>13</v>
      </c>
      <c r="F62" t="s">
        <v>40</v>
      </c>
      <c r="G62">
        <v>107</v>
      </c>
    </row>
    <row r="63" spans="1:7">
      <c r="A63" t="s">
        <v>43</v>
      </c>
      <c r="B63">
        <v>109904</v>
      </c>
      <c r="C63">
        <v>24122961</v>
      </c>
      <c r="D63" t="s">
        <v>44</v>
      </c>
      <c r="E63" t="s">
        <v>13</v>
      </c>
      <c r="F63" t="s">
        <v>40</v>
      </c>
      <c r="G63">
        <v>107.5</v>
      </c>
    </row>
    <row r="64" spans="1:7">
      <c r="A64" t="s">
        <v>159</v>
      </c>
      <c r="B64">
        <v>112198</v>
      </c>
      <c r="C64">
        <v>24158542</v>
      </c>
      <c r="D64" t="s">
        <v>160</v>
      </c>
      <c r="E64" t="s">
        <v>13</v>
      </c>
      <c r="F64" t="s">
        <v>14</v>
      </c>
      <c r="G64">
        <v>107.5</v>
      </c>
    </row>
    <row r="65" spans="1:7">
      <c r="A65" t="s">
        <v>287</v>
      </c>
      <c r="B65">
        <v>109970</v>
      </c>
      <c r="C65">
        <v>24122604</v>
      </c>
      <c r="D65" t="s">
        <v>288</v>
      </c>
      <c r="E65" t="s">
        <v>13</v>
      </c>
      <c r="F65" t="s">
        <v>27</v>
      </c>
      <c r="G65">
        <v>107.5</v>
      </c>
    </row>
    <row r="66" spans="1:7">
      <c r="A66" t="s">
        <v>399</v>
      </c>
      <c r="B66">
        <v>109960</v>
      </c>
      <c r="C66">
        <v>24122587</v>
      </c>
      <c r="D66" t="s">
        <v>400</v>
      </c>
      <c r="E66" t="s">
        <v>13</v>
      </c>
      <c r="F66" t="s">
        <v>27</v>
      </c>
      <c r="G66">
        <v>107.5</v>
      </c>
    </row>
    <row r="67" spans="1:7">
      <c r="A67" t="s">
        <v>291</v>
      </c>
      <c r="B67">
        <v>107655</v>
      </c>
      <c r="C67">
        <v>24086360</v>
      </c>
      <c r="D67" t="s">
        <v>292</v>
      </c>
      <c r="E67" t="s">
        <v>13</v>
      </c>
      <c r="F67" t="s">
        <v>14</v>
      </c>
      <c r="G67">
        <v>108</v>
      </c>
    </row>
    <row r="68" spans="1:7">
      <c r="A68" t="s">
        <v>113</v>
      </c>
      <c r="B68">
        <v>112605</v>
      </c>
      <c r="C68">
        <v>24165189</v>
      </c>
      <c r="D68" t="s">
        <v>114</v>
      </c>
      <c r="E68" t="s">
        <v>13</v>
      </c>
      <c r="F68" t="s">
        <v>14</v>
      </c>
      <c r="G68">
        <v>108.5</v>
      </c>
    </row>
    <row r="69" spans="1:7">
      <c r="A69" t="s">
        <v>559</v>
      </c>
      <c r="B69">
        <v>109495</v>
      </c>
      <c r="C69">
        <v>24115838</v>
      </c>
      <c r="D69" t="s">
        <v>560</v>
      </c>
      <c r="E69" t="s">
        <v>13</v>
      </c>
      <c r="F69" t="s">
        <v>17</v>
      </c>
      <c r="G69">
        <v>108.5</v>
      </c>
    </row>
    <row r="70" spans="1:7">
      <c r="A70" t="s">
        <v>713</v>
      </c>
      <c r="B70">
        <v>112348</v>
      </c>
      <c r="C70">
        <v>24161160</v>
      </c>
      <c r="D70" t="s">
        <v>714</v>
      </c>
      <c r="E70" t="s">
        <v>13</v>
      </c>
      <c r="F70" t="s">
        <v>27</v>
      </c>
      <c r="G70">
        <v>108.5</v>
      </c>
    </row>
    <row r="71" spans="1:7">
      <c r="A71" t="s">
        <v>465</v>
      </c>
      <c r="B71">
        <v>111060</v>
      </c>
      <c r="C71">
        <v>24142171</v>
      </c>
      <c r="D71" t="s">
        <v>466</v>
      </c>
      <c r="E71" t="s">
        <v>13</v>
      </c>
      <c r="F71" t="s">
        <v>27</v>
      </c>
      <c r="G71">
        <v>109</v>
      </c>
    </row>
    <row r="72" spans="1:7">
      <c r="A72" t="s">
        <v>69</v>
      </c>
      <c r="B72">
        <v>104189</v>
      </c>
      <c r="C72">
        <v>24035955</v>
      </c>
      <c r="D72" t="s">
        <v>70</v>
      </c>
      <c r="E72" t="s">
        <v>13</v>
      </c>
      <c r="F72" t="s">
        <v>17</v>
      </c>
      <c r="G72">
        <v>109.5</v>
      </c>
    </row>
    <row r="73" spans="1:7">
      <c r="A73" t="s">
        <v>67</v>
      </c>
      <c r="B73">
        <v>109605</v>
      </c>
      <c r="C73">
        <v>24119765</v>
      </c>
      <c r="D73" t="s">
        <v>68</v>
      </c>
      <c r="E73" t="s">
        <v>13</v>
      </c>
      <c r="F73" t="s">
        <v>14</v>
      </c>
      <c r="G73">
        <v>110</v>
      </c>
    </row>
    <row r="74" spans="1:7">
      <c r="A74" t="s">
        <v>389</v>
      </c>
      <c r="B74">
        <v>108273</v>
      </c>
      <c r="C74">
        <v>24096985</v>
      </c>
      <c r="D74" t="s">
        <v>390</v>
      </c>
      <c r="E74" t="s">
        <v>13</v>
      </c>
      <c r="F74" t="s">
        <v>17</v>
      </c>
      <c r="G74">
        <v>110</v>
      </c>
    </row>
    <row r="75" spans="1:7">
      <c r="A75" t="s">
        <v>125</v>
      </c>
      <c r="B75">
        <v>109621</v>
      </c>
      <c r="C75">
        <v>24118082</v>
      </c>
      <c r="D75" t="s">
        <v>126</v>
      </c>
      <c r="E75" t="s">
        <v>13</v>
      </c>
      <c r="F75" t="s">
        <v>20</v>
      </c>
      <c r="G75">
        <v>110.5</v>
      </c>
    </row>
    <row r="76" spans="1:7">
      <c r="A76" t="s">
        <v>413</v>
      </c>
      <c r="B76">
        <v>107934</v>
      </c>
      <c r="C76">
        <v>24092786</v>
      </c>
      <c r="D76" t="s">
        <v>414</v>
      </c>
      <c r="E76" t="s">
        <v>13</v>
      </c>
      <c r="F76" t="s">
        <v>17</v>
      </c>
      <c r="G76">
        <v>110.5</v>
      </c>
    </row>
    <row r="77" spans="1:7">
      <c r="A77" t="s">
        <v>323</v>
      </c>
      <c r="B77">
        <v>109897</v>
      </c>
      <c r="C77">
        <v>24122944</v>
      </c>
      <c r="D77" t="s">
        <v>324</v>
      </c>
      <c r="E77" t="s">
        <v>13</v>
      </c>
      <c r="F77" t="s">
        <v>40</v>
      </c>
      <c r="G77">
        <v>111</v>
      </c>
    </row>
    <row r="78" spans="1:7">
      <c r="A78" t="s">
        <v>473</v>
      </c>
      <c r="B78">
        <v>113483</v>
      </c>
      <c r="C78">
        <v>24176545</v>
      </c>
      <c r="D78" t="s">
        <v>474</v>
      </c>
      <c r="E78" t="s">
        <v>13</v>
      </c>
      <c r="F78" t="s">
        <v>27</v>
      </c>
      <c r="G78">
        <v>111</v>
      </c>
    </row>
    <row r="79" spans="1:7">
      <c r="A79" t="s">
        <v>627</v>
      </c>
      <c r="B79">
        <v>103722</v>
      </c>
      <c r="C79">
        <v>24036210</v>
      </c>
      <c r="D79" t="s">
        <v>628</v>
      </c>
      <c r="E79" t="s">
        <v>13</v>
      </c>
      <c r="F79" t="s">
        <v>40</v>
      </c>
      <c r="G79">
        <v>111</v>
      </c>
    </row>
    <row r="80" spans="1:7">
      <c r="A80" t="s">
        <v>437</v>
      </c>
      <c r="B80">
        <v>109261</v>
      </c>
      <c r="C80">
        <v>24110993</v>
      </c>
      <c r="D80" t="s">
        <v>438</v>
      </c>
      <c r="E80" t="s">
        <v>13</v>
      </c>
      <c r="F80" t="s">
        <v>17</v>
      </c>
      <c r="G80">
        <v>111.5</v>
      </c>
    </row>
    <row r="81" spans="1:7">
      <c r="A81" t="s">
        <v>18</v>
      </c>
      <c r="B81">
        <v>111055</v>
      </c>
      <c r="C81">
        <v>24142154</v>
      </c>
      <c r="D81" t="s">
        <v>19</v>
      </c>
      <c r="E81" t="s">
        <v>13</v>
      </c>
      <c r="F81" t="s">
        <v>20</v>
      </c>
      <c r="G81">
        <v>112</v>
      </c>
    </row>
    <row r="82" spans="1:7">
      <c r="A82" t="s">
        <v>167</v>
      </c>
      <c r="B82">
        <v>104129</v>
      </c>
      <c r="C82">
        <v>24036567</v>
      </c>
      <c r="D82" t="s">
        <v>168</v>
      </c>
      <c r="E82" t="s">
        <v>13</v>
      </c>
      <c r="F82" t="s">
        <v>20</v>
      </c>
      <c r="G82">
        <v>112.5</v>
      </c>
    </row>
    <row r="83" spans="1:7">
      <c r="A83" t="s">
        <v>173</v>
      </c>
      <c r="B83">
        <v>103891</v>
      </c>
      <c r="C83">
        <v>24036329</v>
      </c>
      <c r="D83" t="s">
        <v>174</v>
      </c>
      <c r="E83" t="s">
        <v>13</v>
      </c>
      <c r="F83" t="s">
        <v>27</v>
      </c>
      <c r="G83">
        <v>112.5</v>
      </c>
    </row>
    <row r="84" spans="1:7">
      <c r="A84" t="s">
        <v>123</v>
      </c>
      <c r="B84">
        <v>111162</v>
      </c>
      <c r="C84">
        <v>24143786</v>
      </c>
      <c r="D84" t="s">
        <v>124</v>
      </c>
      <c r="E84" t="s">
        <v>13</v>
      </c>
      <c r="F84" t="s">
        <v>14</v>
      </c>
      <c r="G84">
        <v>113</v>
      </c>
    </row>
    <row r="85" spans="1:7">
      <c r="A85" t="s">
        <v>351</v>
      </c>
      <c r="B85">
        <v>111701</v>
      </c>
      <c r="C85">
        <v>24151249</v>
      </c>
      <c r="D85" t="s">
        <v>352</v>
      </c>
      <c r="E85" t="s">
        <v>13</v>
      </c>
      <c r="F85" t="s">
        <v>14</v>
      </c>
      <c r="G85">
        <v>113</v>
      </c>
    </row>
    <row r="86" spans="1:7">
      <c r="A86" t="s">
        <v>499</v>
      </c>
      <c r="B86">
        <v>108559</v>
      </c>
      <c r="C86">
        <v>24100606</v>
      </c>
      <c r="D86" t="s">
        <v>500</v>
      </c>
      <c r="E86" t="s">
        <v>13</v>
      </c>
      <c r="F86" t="s">
        <v>20</v>
      </c>
      <c r="G86">
        <v>114</v>
      </c>
    </row>
    <row r="87" spans="1:7">
      <c r="A87" t="s">
        <v>625</v>
      </c>
      <c r="B87">
        <v>109735</v>
      </c>
      <c r="C87">
        <v>24119833</v>
      </c>
      <c r="D87" t="s">
        <v>626</v>
      </c>
      <c r="E87" t="s">
        <v>13</v>
      </c>
      <c r="F87" t="s">
        <v>27</v>
      </c>
      <c r="G87">
        <v>114</v>
      </c>
    </row>
    <row r="88" spans="1:7">
      <c r="A88" t="s">
        <v>681</v>
      </c>
      <c r="B88">
        <v>108753</v>
      </c>
      <c r="C88">
        <v>24102867</v>
      </c>
      <c r="D88" t="s">
        <v>682</v>
      </c>
      <c r="E88" t="s">
        <v>13</v>
      </c>
      <c r="F88" t="s">
        <v>20</v>
      </c>
      <c r="G88">
        <v>114</v>
      </c>
    </row>
    <row r="89" spans="1:7">
      <c r="A89" t="s">
        <v>157</v>
      </c>
      <c r="B89">
        <v>111177</v>
      </c>
      <c r="C89">
        <v>24143565</v>
      </c>
      <c r="D89" t="s">
        <v>158</v>
      </c>
      <c r="E89" t="s">
        <v>13</v>
      </c>
      <c r="F89" t="s">
        <v>20</v>
      </c>
      <c r="G89">
        <v>114.5</v>
      </c>
    </row>
    <row r="90" spans="1:7">
      <c r="A90" t="s">
        <v>309</v>
      </c>
      <c r="B90">
        <v>20388</v>
      </c>
      <c r="C90">
        <v>17149260</v>
      </c>
      <c r="D90" t="s">
        <v>310</v>
      </c>
      <c r="E90" t="s">
        <v>13</v>
      </c>
      <c r="F90" t="s">
        <v>27</v>
      </c>
      <c r="G90">
        <v>114.5</v>
      </c>
    </row>
    <row r="91" spans="1:7">
      <c r="A91" t="s">
        <v>569</v>
      </c>
      <c r="B91">
        <v>108703</v>
      </c>
      <c r="C91">
        <v>24103190</v>
      </c>
      <c r="D91" t="s">
        <v>570</v>
      </c>
      <c r="E91" t="s">
        <v>13</v>
      </c>
      <c r="F91" t="s">
        <v>20</v>
      </c>
      <c r="G91">
        <v>114.5</v>
      </c>
    </row>
    <row r="92" spans="1:7">
      <c r="A92" t="s">
        <v>457</v>
      </c>
      <c r="B92">
        <v>103709</v>
      </c>
      <c r="C92">
        <v>14407352</v>
      </c>
      <c r="D92" t="s">
        <v>458</v>
      </c>
      <c r="E92" t="s">
        <v>13</v>
      </c>
      <c r="F92" t="s">
        <v>40</v>
      </c>
      <c r="G92">
        <v>115</v>
      </c>
    </row>
    <row r="93" spans="1:7">
      <c r="A93" t="s">
        <v>81</v>
      </c>
      <c r="B93">
        <v>110923</v>
      </c>
      <c r="C93">
        <v>13405066</v>
      </c>
      <c r="D93" t="s">
        <v>82</v>
      </c>
      <c r="E93" t="s">
        <v>13</v>
      </c>
      <c r="F93" t="s">
        <v>17</v>
      </c>
      <c r="G93">
        <v>115.5</v>
      </c>
    </row>
    <row r="94" spans="1:7">
      <c r="A94" t="s">
        <v>657</v>
      </c>
      <c r="B94">
        <v>103558</v>
      </c>
      <c r="C94">
        <v>24037094</v>
      </c>
      <c r="D94" t="s">
        <v>658</v>
      </c>
      <c r="E94" t="s">
        <v>13</v>
      </c>
      <c r="F94" t="s">
        <v>17</v>
      </c>
      <c r="G94">
        <v>115.5</v>
      </c>
    </row>
    <row r="95" spans="1:7">
      <c r="A95" t="s">
        <v>411</v>
      </c>
      <c r="B95">
        <v>103292</v>
      </c>
      <c r="C95">
        <v>24037519</v>
      </c>
      <c r="D95" t="s">
        <v>412</v>
      </c>
      <c r="E95" t="s">
        <v>13</v>
      </c>
      <c r="F95" t="s">
        <v>40</v>
      </c>
      <c r="G95">
        <v>116.5</v>
      </c>
    </row>
    <row r="96" spans="1:7">
      <c r="A96" t="s">
        <v>239</v>
      </c>
      <c r="B96">
        <v>112169</v>
      </c>
      <c r="C96">
        <v>24158355</v>
      </c>
      <c r="D96" t="s">
        <v>240</v>
      </c>
      <c r="E96" t="s">
        <v>13</v>
      </c>
      <c r="F96" t="s">
        <v>40</v>
      </c>
      <c r="G96">
        <v>117</v>
      </c>
    </row>
    <row r="97" spans="1:7">
      <c r="A97" t="s">
        <v>391</v>
      </c>
      <c r="B97">
        <v>109935</v>
      </c>
      <c r="C97">
        <v>24122859</v>
      </c>
      <c r="D97" t="s">
        <v>392</v>
      </c>
      <c r="E97" t="s">
        <v>13</v>
      </c>
      <c r="F97" t="s">
        <v>20</v>
      </c>
      <c r="G97">
        <v>117</v>
      </c>
    </row>
    <row r="98" spans="1:7">
      <c r="A98" t="s">
        <v>155</v>
      </c>
      <c r="B98">
        <v>111175</v>
      </c>
      <c r="C98">
        <v>24143769</v>
      </c>
      <c r="D98" t="s">
        <v>156</v>
      </c>
      <c r="E98" t="s">
        <v>13</v>
      </c>
      <c r="F98" t="s">
        <v>17</v>
      </c>
      <c r="G98">
        <v>117.5</v>
      </c>
    </row>
    <row r="99" spans="1:7">
      <c r="A99" t="s">
        <v>281</v>
      </c>
      <c r="B99">
        <v>109662</v>
      </c>
      <c r="C99">
        <v>24119578</v>
      </c>
      <c r="D99" t="s">
        <v>282</v>
      </c>
      <c r="E99" t="s">
        <v>13</v>
      </c>
      <c r="F99" t="s">
        <v>20</v>
      </c>
      <c r="G99">
        <v>117.5</v>
      </c>
    </row>
    <row r="100" spans="1:7">
      <c r="A100" t="s">
        <v>477</v>
      </c>
      <c r="B100">
        <v>84940</v>
      </c>
      <c r="C100">
        <v>17506515</v>
      </c>
      <c r="D100" t="s">
        <v>478</v>
      </c>
      <c r="E100" t="s">
        <v>13</v>
      </c>
      <c r="F100" t="s">
        <v>40</v>
      </c>
      <c r="G100">
        <v>118</v>
      </c>
    </row>
    <row r="101" spans="1:7">
      <c r="A101" t="s">
        <v>649</v>
      </c>
      <c r="B101">
        <v>109954</v>
      </c>
      <c r="C101">
        <v>24122825</v>
      </c>
      <c r="D101" t="s">
        <v>650</v>
      </c>
      <c r="E101" t="s">
        <v>13</v>
      </c>
      <c r="F101" t="s">
        <v>20</v>
      </c>
      <c r="G101">
        <v>118</v>
      </c>
    </row>
    <row r="102" spans="1:7">
      <c r="A102" t="s">
        <v>299</v>
      </c>
      <c r="B102">
        <v>86127</v>
      </c>
      <c r="C102">
        <v>17519163</v>
      </c>
      <c r="D102" t="s">
        <v>300</v>
      </c>
      <c r="E102" t="s">
        <v>13</v>
      </c>
      <c r="F102" t="s">
        <v>40</v>
      </c>
      <c r="G102">
        <v>118.5</v>
      </c>
    </row>
    <row r="103" spans="1:7">
      <c r="A103" t="s">
        <v>373</v>
      </c>
      <c r="B103">
        <v>109961</v>
      </c>
      <c r="C103">
        <v>24122995</v>
      </c>
      <c r="D103" t="s">
        <v>374</v>
      </c>
      <c r="E103" t="s">
        <v>13</v>
      </c>
      <c r="F103" t="s">
        <v>14</v>
      </c>
      <c r="G103">
        <v>118.5</v>
      </c>
    </row>
    <row r="104" spans="1:7">
      <c r="A104" t="s">
        <v>407</v>
      </c>
      <c r="B104">
        <v>109667</v>
      </c>
      <c r="C104">
        <v>24119527</v>
      </c>
      <c r="D104" t="s">
        <v>408</v>
      </c>
      <c r="E104" t="s">
        <v>13</v>
      </c>
      <c r="F104" t="s">
        <v>27</v>
      </c>
      <c r="G104">
        <v>118.5</v>
      </c>
    </row>
    <row r="105" spans="1:7">
      <c r="A105" t="s">
        <v>423</v>
      </c>
      <c r="B105">
        <v>104554</v>
      </c>
      <c r="C105">
        <v>24011849</v>
      </c>
      <c r="D105" t="s">
        <v>424</v>
      </c>
      <c r="E105" t="s">
        <v>13</v>
      </c>
      <c r="F105" t="s">
        <v>17</v>
      </c>
      <c r="G105">
        <v>118.5</v>
      </c>
    </row>
    <row r="106" spans="1:7">
      <c r="A106" t="s">
        <v>671</v>
      </c>
      <c r="B106">
        <v>111793</v>
      </c>
      <c r="C106">
        <v>24152354</v>
      </c>
      <c r="D106" t="s">
        <v>672</v>
      </c>
      <c r="E106" t="s">
        <v>13</v>
      </c>
      <c r="F106" t="s">
        <v>14</v>
      </c>
      <c r="G106">
        <v>118.5</v>
      </c>
    </row>
    <row r="107" spans="1:7">
      <c r="A107" t="s">
        <v>683</v>
      </c>
      <c r="B107">
        <v>113480</v>
      </c>
      <c r="C107">
        <v>24176477</v>
      </c>
      <c r="D107" t="s">
        <v>684</v>
      </c>
      <c r="E107" t="s">
        <v>13</v>
      </c>
      <c r="F107" t="s">
        <v>40</v>
      </c>
      <c r="G107">
        <v>119</v>
      </c>
    </row>
    <row r="108" spans="1:7">
      <c r="A108" t="s">
        <v>303</v>
      </c>
      <c r="B108">
        <v>103958</v>
      </c>
      <c r="C108">
        <v>24032436</v>
      </c>
      <c r="D108" t="s">
        <v>304</v>
      </c>
      <c r="E108" t="s">
        <v>13</v>
      </c>
      <c r="F108" t="s">
        <v>14</v>
      </c>
      <c r="G108">
        <v>119.5</v>
      </c>
    </row>
    <row r="109" spans="1:7">
      <c r="A109" t="s">
        <v>643</v>
      </c>
      <c r="B109">
        <v>107585</v>
      </c>
      <c r="C109">
        <v>24086275</v>
      </c>
      <c r="D109" t="s">
        <v>644</v>
      </c>
      <c r="E109" t="s">
        <v>13</v>
      </c>
      <c r="F109" t="s">
        <v>40</v>
      </c>
      <c r="G109">
        <v>120</v>
      </c>
    </row>
    <row r="110" spans="1:7">
      <c r="A110" t="s">
        <v>655</v>
      </c>
      <c r="B110">
        <v>111083</v>
      </c>
      <c r="C110">
        <v>24142120</v>
      </c>
      <c r="D110" t="s">
        <v>656</v>
      </c>
      <c r="E110" t="s">
        <v>13</v>
      </c>
      <c r="F110" t="s">
        <v>20</v>
      </c>
      <c r="G110">
        <v>120</v>
      </c>
    </row>
    <row r="111" spans="1:7">
      <c r="A111" t="s">
        <v>83</v>
      </c>
      <c r="B111">
        <v>103070</v>
      </c>
      <c r="C111">
        <v>24035904</v>
      </c>
      <c r="D111" t="s">
        <v>84</v>
      </c>
      <c r="E111" t="s">
        <v>13</v>
      </c>
      <c r="F111" t="s">
        <v>20</v>
      </c>
      <c r="G111">
        <v>120.5</v>
      </c>
    </row>
    <row r="112" spans="1:7">
      <c r="A112" t="s">
        <v>273</v>
      </c>
      <c r="B112">
        <v>107195</v>
      </c>
      <c r="C112">
        <v>24079679</v>
      </c>
      <c r="D112" t="s">
        <v>274</v>
      </c>
      <c r="E112" t="s">
        <v>13</v>
      </c>
      <c r="F112" t="s">
        <v>40</v>
      </c>
      <c r="G112">
        <v>120.5</v>
      </c>
    </row>
    <row r="113" spans="1:7">
      <c r="A113" t="s">
        <v>319</v>
      </c>
      <c r="B113">
        <v>63156</v>
      </c>
      <c r="C113">
        <v>17300288</v>
      </c>
      <c r="D113" t="s">
        <v>320</v>
      </c>
      <c r="E113" t="s">
        <v>13</v>
      </c>
      <c r="F113" t="s">
        <v>20</v>
      </c>
      <c r="G113">
        <v>120.5</v>
      </c>
    </row>
    <row r="114" spans="1:7">
      <c r="A114" t="s">
        <v>363</v>
      </c>
      <c r="B114">
        <v>86155</v>
      </c>
      <c r="C114">
        <v>17520472</v>
      </c>
      <c r="D114" t="s">
        <v>364</v>
      </c>
      <c r="E114" t="s">
        <v>13</v>
      </c>
      <c r="F114" t="s">
        <v>14</v>
      </c>
      <c r="G114">
        <v>120.5</v>
      </c>
    </row>
    <row r="115" spans="1:7">
      <c r="A115" t="s">
        <v>337</v>
      </c>
      <c r="B115">
        <v>113840</v>
      </c>
      <c r="C115">
        <v>24182257</v>
      </c>
      <c r="D115" t="s">
        <v>338</v>
      </c>
      <c r="E115" t="s">
        <v>13</v>
      </c>
      <c r="F115" t="s">
        <v>14</v>
      </c>
      <c r="G115">
        <v>121</v>
      </c>
    </row>
    <row r="116" spans="1:7">
      <c r="A116" t="s">
        <v>527</v>
      </c>
      <c r="B116">
        <v>107309</v>
      </c>
      <c r="C116">
        <v>24080886</v>
      </c>
      <c r="D116" t="s">
        <v>528</v>
      </c>
      <c r="E116" t="s">
        <v>13</v>
      </c>
      <c r="F116" t="s">
        <v>20</v>
      </c>
      <c r="G116">
        <v>121</v>
      </c>
    </row>
    <row r="117" spans="1:7">
      <c r="A117" t="s">
        <v>619</v>
      </c>
      <c r="B117">
        <v>110759</v>
      </c>
      <c r="C117">
        <v>24136153</v>
      </c>
      <c r="D117" t="s">
        <v>620</v>
      </c>
      <c r="E117" t="s">
        <v>13</v>
      </c>
      <c r="F117" t="s">
        <v>14</v>
      </c>
      <c r="G117">
        <v>121</v>
      </c>
    </row>
    <row r="118" spans="1:7">
      <c r="A118" t="s">
        <v>181</v>
      </c>
      <c r="B118">
        <v>102999</v>
      </c>
      <c r="C118">
        <v>24036193</v>
      </c>
      <c r="D118" t="s">
        <v>182</v>
      </c>
      <c r="E118" t="s">
        <v>13</v>
      </c>
      <c r="F118" t="s">
        <v>40</v>
      </c>
      <c r="G118">
        <v>121.5</v>
      </c>
    </row>
    <row r="119" spans="1:7">
      <c r="A119" t="s">
        <v>445</v>
      </c>
      <c r="B119">
        <v>104553</v>
      </c>
      <c r="C119">
        <v>24035921</v>
      </c>
      <c r="D119" t="s">
        <v>446</v>
      </c>
      <c r="E119" t="s">
        <v>13</v>
      </c>
      <c r="F119" t="s">
        <v>40</v>
      </c>
      <c r="G119">
        <v>121.5</v>
      </c>
    </row>
    <row r="120" spans="1:7">
      <c r="A120" t="s">
        <v>455</v>
      </c>
      <c r="B120">
        <v>104507</v>
      </c>
      <c r="C120">
        <v>17658512</v>
      </c>
      <c r="D120" t="s">
        <v>456</v>
      </c>
      <c r="E120" t="s">
        <v>13</v>
      </c>
      <c r="F120" t="s">
        <v>20</v>
      </c>
      <c r="G120">
        <v>121.5</v>
      </c>
    </row>
    <row r="121" spans="1:7">
      <c r="A121" t="s">
        <v>607</v>
      </c>
      <c r="B121">
        <v>26587</v>
      </c>
      <c r="C121">
        <v>14055435</v>
      </c>
      <c r="D121" t="s">
        <v>608</v>
      </c>
      <c r="E121" t="s">
        <v>13</v>
      </c>
      <c r="F121" t="s">
        <v>17</v>
      </c>
      <c r="G121">
        <v>121.5</v>
      </c>
    </row>
    <row r="122" spans="1:7">
      <c r="A122" t="s">
        <v>235</v>
      </c>
      <c r="B122">
        <v>113614</v>
      </c>
      <c r="C122">
        <v>24178194</v>
      </c>
      <c r="D122" t="s">
        <v>236</v>
      </c>
      <c r="E122" t="s">
        <v>13</v>
      </c>
      <c r="F122" t="s">
        <v>17</v>
      </c>
      <c r="G122">
        <v>122</v>
      </c>
    </row>
    <row r="123" spans="1:7">
      <c r="A123" t="s">
        <v>717</v>
      </c>
      <c r="B123">
        <v>109651</v>
      </c>
      <c r="C123">
        <v>24119646</v>
      </c>
      <c r="D123" t="s">
        <v>718</v>
      </c>
      <c r="E123" t="s">
        <v>13</v>
      </c>
      <c r="F123" t="s">
        <v>40</v>
      </c>
      <c r="G123">
        <v>122</v>
      </c>
    </row>
    <row r="124" spans="1:7">
      <c r="A124" t="s">
        <v>213</v>
      </c>
      <c r="B124">
        <v>107776</v>
      </c>
      <c r="C124">
        <v>24089624</v>
      </c>
      <c r="D124" t="s">
        <v>214</v>
      </c>
      <c r="E124" t="s">
        <v>13</v>
      </c>
      <c r="F124" t="s">
        <v>17</v>
      </c>
      <c r="G124">
        <v>122.5</v>
      </c>
    </row>
    <row r="125" spans="1:7">
      <c r="A125" t="s">
        <v>233</v>
      </c>
      <c r="B125">
        <v>86879</v>
      </c>
      <c r="C125">
        <v>17533290</v>
      </c>
      <c r="D125" t="s">
        <v>234</v>
      </c>
      <c r="E125" t="s">
        <v>13</v>
      </c>
      <c r="F125" t="s">
        <v>17</v>
      </c>
      <c r="G125">
        <v>122.5</v>
      </c>
    </row>
    <row r="126" spans="1:7">
      <c r="A126" t="s">
        <v>267</v>
      </c>
      <c r="B126">
        <v>111737</v>
      </c>
      <c r="C126">
        <v>24151198</v>
      </c>
      <c r="D126" t="s">
        <v>268</v>
      </c>
      <c r="E126" t="s">
        <v>13</v>
      </c>
      <c r="F126" t="s">
        <v>17</v>
      </c>
      <c r="G126">
        <v>122.5</v>
      </c>
    </row>
    <row r="127" spans="1:7">
      <c r="A127" t="s">
        <v>653</v>
      </c>
      <c r="B127">
        <v>110765</v>
      </c>
      <c r="C127">
        <v>24135949</v>
      </c>
      <c r="D127" t="s">
        <v>654</v>
      </c>
      <c r="E127" t="s">
        <v>13</v>
      </c>
      <c r="F127" t="s">
        <v>27</v>
      </c>
      <c r="G127">
        <v>122.5</v>
      </c>
    </row>
    <row r="128" spans="1:7">
      <c r="A128" t="s">
        <v>57</v>
      </c>
      <c r="B128">
        <v>103822</v>
      </c>
      <c r="C128">
        <v>24037128</v>
      </c>
      <c r="D128" t="s">
        <v>58</v>
      </c>
      <c r="E128" t="s">
        <v>13</v>
      </c>
      <c r="F128" t="s">
        <v>20</v>
      </c>
      <c r="G128">
        <v>123</v>
      </c>
    </row>
    <row r="129" spans="1:7">
      <c r="A129" t="s">
        <v>317</v>
      </c>
      <c r="B129">
        <v>107140</v>
      </c>
      <c r="C129">
        <v>24079322</v>
      </c>
      <c r="D129" t="s">
        <v>318</v>
      </c>
      <c r="E129" t="s">
        <v>13</v>
      </c>
      <c r="F129" t="s">
        <v>17</v>
      </c>
      <c r="G129">
        <v>123</v>
      </c>
    </row>
    <row r="130" spans="1:7">
      <c r="A130" t="s">
        <v>405</v>
      </c>
      <c r="B130">
        <v>112161</v>
      </c>
      <c r="C130">
        <v>24158474</v>
      </c>
      <c r="D130" t="s">
        <v>406</v>
      </c>
      <c r="E130" t="s">
        <v>13</v>
      </c>
      <c r="F130" t="s">
        <v>20</v>
      </c>
      <c r="G130">
        <v>123</v>
      </c>
    </row>
    <row r="131" spans="1:7">
      <c r="A131" t="s">
        <v>59</v>
      </c>
      <c r="B131">
        <v>107614</v>
      </c>
      <c r="C131">
        <v>24086411</v>
      </c>
      <c r="D131" t="s">
        <v>60</v>
      </c>
      <c r="E131" t="s">
        <v>13</v>
      </c>
      <c r="F131" t="s">
        <v>14</v>
      </c>
      <c r="G131">
        <v>123.5</v>
      </c>
    </row>
    <row r="132" spans="1:7">
      <c r="A132" t="s">
        <v>227</v>
      </c>
      <c r="B132">
        <v>104262</v>
      </c>
      <c r="C132">
        <v>24036754</v>
      </c>
      <c r="D132" t="s">
        <v>228</v>
      </c>
      <c r="E132" t="s">
        <v>13</v>
      </c>
      <c r="F132" t="s">
        <v>20</v>
      </c>
      <c r="G132">
        <v>123.5</v>
      </c>
    </row>
    <row r="133" spans="1:7">
      <c r="A133" t="s">
        <v>315</v>
      </c>
      <c r="B133">
        <v>112784</v>
      </c>
      <c r="C133">
        <v>24167246</v>
      </c>
      <c r="D133" t="s">
        <v>316</v>
      </c>
      <c r="E133" t="s">
        <v>13</v>
      </c>
      <c r="F133" t="s">
        <v>14</v>
      </c>
      <c r="G133">
        <v>123.5</v>
      </c>
    </row>
    <row r="134" spans="1:7">
      <c r="A134" t="s">
        <v>581</v>
      </c>
      <c r="B134">
        <v>103699</v>
      </c>
      <c r="C134">
        <v>24037162</v>
      </c>
      <c r="D134" t="s">
        <v>582</v>
      </c>
      <c r="E134" t="s">
        <v>13</v>
      </c>
      <c r="F134" t="s">
        <v>14</v>
      </c>
      <c r="G134">
        <v>123.5</v>
      </c>
    </row>
    <row r="135" spans="1:7">
      <c r="A135" t="s">
        <v>645</v>
      </c>
      <c r="B135">
        <v>104509</v>
      </c>
      <c r="C135">
        <v>24011866</v>
      </c>
      <c r="D135" t="s">
        <v>646</v>
      </c>
      <c r="E135" t="s">
        <v>13</v>
      </c>
      <c r="F135" t="s">
        <v>17</v>
      </c>
      <c r="G135">
        <v>123.5</v>
      </c>
    </row>
    <row r="136" spans="1:7">
      <c r="A136" t="s">
        <v>631</v>
      </c>
      <c r="B136">
        <v>104627</v>
      </c>
      <c r="C136">
        <v>24036040</v>
      </c>
      <c r="D136" t="s">
        <v>632</v>
      </c>
      <c r="E136" t="s">
        <v>13</v>
      </c>
      <c r="F136" t="s">
        <v>27</v>
      </c>
      <c r="G136">
        <v>124</v>
      </c>
    </row>
    <row r="137" spans="1:7">
      <c r="A137" t="s">
        <v>665</v>
      </c>
      <c r="B137">
        <v>109877</v>
      </c>
      <c r="C137">
        <v>24122723</v>
      </c>
      <c r="D137" t="s">
        <v>666</v>
      </c>
      <c r="E137" t="s">
        <v>13</v>
      </c>
      <c r="F137" t="s">
        <v>20</v>
      </c>
      <c r="G137">
        <v>124</v>
      </c>
    </row>
    <row r="138" spans="1:7">
      <c r="A138" t="s">
        <v>231</v>
      </c>
      <c r="B138">
        <v>109949</v>
      </c>
      <c r="C138">
        <v>24122757</v>
      </c>
      <c r="D138" t="s">
        <v>232</v>
      </c>
      <c r="E138" t="s">
        <v>13</v>
      </c>
      <c r="F138" t="s">
        <v>40</v>
      </c>
      <c r="G138">
        <v>124.5</v>
      </c>
    </row>
    <row r="139" spans="1:7">
      <c r="A139" t="s">
        <v>333</v>
      </c>
      <c r="B139">
        <v>109681</v>
      </c>
      <c r="C139">
        <v>24119850</v>
      </c>
      <c r="D139" t="s">
        <v>334</v>
      </c>
      <c r="E139" t="s">
        <v>13</v>
      </c>
      <c r="F139" t="s">
        <v>14</v>
      </c>
      <c r="G139">
        <v>125.5</v>
      </c>
    </row>
    <row r="140" spans="1:7">
      <c r="A140" t="s">
        <v>431</v>
      </c>
      <c r="B140">
        <v>103756</v>
      </c>
      <c r="C140">
        <v>24036516</v>
      </c>
      <c r="D140" t="s">
        <v>432</v>
      </c>
      <c r="E140" t="s">
        <v>13</v>
      </c>
      <c r="F140" t="s">
        <v>20</v>
      </c>
      <c r="G140">
        <v>125.5</v>
      </c>
    </row>
    <row r="141" spans="1:7">
      <c r="A141" t="s">
        <v>535</v>
      </c>
      <c r="B141">
        <v>103128</v>
      </c>
      <c r="C141">
        <v>24037604</v>
      </c>
      <c r="D141" t="s">
        <v>536</v>
      </c>
      <c r="E141" t="s">
        <v>13</v>
      </c>
      <c r="F141" t="s">
        <v>20</v>
      </c>
      <c r="G141">
        <v>125.5</v>
      </c>
    </row>
    <row r="142" spans="1:7">
      <c r="A142" t="s">
        <v>255</v>
      </c>
      <c r="B142">
        <v>109632</v>
      </c>
      <c r="C142">
        <v>24119867</v>
      </c>
      <c r="D142" t="s">
        <v>256</v>
      </c>
      <c r="E142" t="s">
        <v>13</v>
      </c>
      <c r="F142" t="s">
        <v>20</v>
      </c>
      <c r="G142">
        <v>126</v>
      </c>
    </row>
    <row r="143" spans="1:7">
      <c r="A143" t="s">
        <v>567</v>
      </c>
      <c r="B143">
        <v>112576</v>
      </c>
      <c r="C143">
        <v>24165206</v>
      </c>
      <c r="D143" t="s">
        <v>568</v>
      </c>
      <c r="E143" t="s">
        <v>13</v>
      </c>
      <c r="F143" t="s">
        <v>27</v>
      </c>
      <c r="G143">
        <v>127</v>
      </c>
    </row>
    <row r="144" spans="1:7">
      <c r="A144" t="s">
        <v>409</v>
      </c>
      <c r="B144">
        <v>107057</v>
      </c>
      <c r="C144">
        <v>24077282</v>
      </c>
      <c r="D144" t="s">
        <v>410</v>
      </c>
      <c r="E144" t="s">
        <v>13</v>
      </c>
      <c r="F144" t="s">
        <v>40</v>
      </c>
      <c r="G144">
        <v>127.5</v>
      </c>
    </row>
    <row r="145" spans="1:7">
      <c r="A145" t="s">
        <v>439</v>
      </c>
      <c r="B145">
        <v>103754</v>
      </c>
      <c r="C145">
        <v>24035819</v>
      </c>
      <c r="D145" t="s">
        <v>440</v>
      </c>
      <c r="E145" t="s">
        <v>13</v>
      </c>
      <c r="F145" t="s">
        <v>27</v>
      </c>
      <c r="G145">
        <v>127.5</v>
      </c>
    </row>
    <row r="146" spans="1:7">
      <c r="A146" t="s">
        <v>189</v>
      </c>
      <c r="B146">
        <v>108006</v>
      </c>
      <c r="C146">
        <v>24092854</v>
      </c>
      <c r="D146" t="s">
        <v>190</v>
      </c>
      <c r="E146" t="s">
        <v>13</v>
      </c>
      <c r="F146" t="s">
        <v>14</v>
      </c>
      <c r="G146">
        <v>128.5</v>
      </c>
    </row>
    <row r="147" spans="1:7">
      <c r="A147" t="s">
        <v>339</v>
      </c>
      <c r="B147">
        <v>112607</v>
      </c>
      <c r="C147">
        <v>24165172</v>
      </c>
      <c r="D147" t="s">
        <v>340</v>
      </c>
      <c r="E147" t="s">
        <v>13</v>
      </c>
      <c r="F147" t="s">
        <v>17</v>
      </c>
      <c r="G147">
        <v>128.5</v>
      </c>
    </row>
    <row r="148" spans="1:7">
      <c r="A148" t="s">
        <v>343</v>
      </c>
      <c r="B148">
        <v>107217</v>
      </c>
      <c r="C148">
        <v>24079645</v>
      </c>
      <c r="D148" t="s">
        <v>344</v>
      </c>
      <c r="E148" t="s">
        <v>13</v>
      </c>
      <c r="F148" t="s">
        <v>27</v>
      </c>
      <c r="G148">
        <v>128.5</v>
      </c>
    </row>
    <row r="149" spans="1:7">
      <c r="A149" t="s">
        <v>711</v>
      </c>
      <c r="B149">
        <v>109789</v>
      </c>
      <c r="C149">
        <v>24119680</v>
      </c>
      <c r="D149" t="s">
        <v>712</v>
      </c>
      <c r="E149" t="s">
        <v>13</v>
      </c>
      <c r="F149" t="s">
        <v>40</v>
      </c>
      <c r="G149">
        <v>129</v>
      </c>
    </row>
    <row r="150" spans="1:7">
      <c r="A150" t="s">
        <v>211</v>
      </c>
      <c r="B150">
        <v>111365</v>
      </c>
      <c r="C150">
        <v>24146897</v>
      </c>
      <c r="D150" t="s">
        <v>212</v>
      </c>
      <c r="E150" t="s">
        <v>13</v>
      </c>
      <c r="F150" t="s">
        <v>14</v>
      </c>
      <c r="G150">
        <v>129.5</v>
      </c>
    </row>
    <row r="151" spans="1:7">
      <c r="A151" t="s">
        <v>305</v>
      </c>
      <c r="B151">
        <v>104002</v>
      </c>
      <c r="C151">
        <v>24036584</v>
      </c>
      <c r="D151" t="s">
        <v>306</v>
      </c>
      <c r="E151" t="s">
        <v>13</v>
      </c>
      <c r="F151" t="s">
        <v>14</v>
      </c>
      <c r="G151">
        <v>129.5</v>
      </c>
    </row>
    <row r="152" spans="1:7">
      <c r="A152" t="s">
        <v>345</v>
      </c>
      <c r="B152">
        <v>103065</v>
      </c>
      <c r="C152">
        <v>24036669</v>
      </c>
      <c r="D152" t="s">
        <v>346</v>
      </c>
      <c r="E152" t="s">
        <v>13</v>
      </c>
      <c r="F152" t="s">
        <v>40</v>
      </c>
      <c r="G152">
        <v>129.5</v>
      </c>
    </row>
    <row r="153" spans="1:7">
      <c r="A153" t="s">
        <v>357</v>
      </c>
      <c r="B153">
        <v>103698</v>
      </c>
      <c r="C153">
        <v>24035700</v>
      </c>
      <c r="D153" t="s">
        <v>358</v>
      </c>
      <c r="E153" t="s">
        <v>13</v>
      </c>
      <c r="F153" t="s">
        <v>40</v>
      </c>
      <c r="G153">
        <v>129.5</v>
      </c>
    </row>
    <row r="154" spans="1:7">
      <c r="A154" t="s">
        <v>505</v>
      </c>
      <c r="B154">
        <v>109723</v>
      </c>
      <c r="C154">
        <v>24119510</v>
      </c>
      <c r="D154" t="s">
        <v>506</v>
      </c>
      <c r="E154" t="s">
        <v>13</v>
      </c>
      <c r="F154" t="s">
        <v>27</v>
      </c>
      <c r="G154">
        <v>129.5</v>
      </c>
    </row>
    <row r="155" spans="1:7">
      <c r="A155" t="s">
        <v>21</v>
      </c>
      <c r="B155">
        <v>108284</v>
      </c>
      <c r="C155">
        <v>24097002</v>
      </c>
      <c r="D155" t="s">
        <v>22</v>
      </c>
      <c r="E155" t="s">
        <v>13</v>
      </c>
      <c r="F155" t="s">
        <v>20</v>
      </c>
      <c r="G155">
        <v>130</v>
      </c>
    </row>
    <row r="156" spans="1:7">
      <c r="A156" t="s">
        <v>47</v>
      </c>
      <c r="B156">
        <v>108044</v>
      </c>
      <c r="C156">
        <v>24092718</v>
      </c>
      <c r="D156" t="s">
        <v>48</v>
      </c>
      <c r="E156" t="s">
        <v>13</v>
      </c>
      <c r="F156" t="s">
        <v>14</v>
      </c>
      <c r="G156">
        <v>130</v>
      </c>
    </row>
    <row r="157" spans="1:7">
      <c r="A157" t="s">
        <v>141</v>
      </c>
      <c r="B157">
        <v>108055</v>
      </c>
      <c r="C157">
        <v>24092769</v>
      </c>
      <c r="D157" t="s">
        <v>142</v>
      </c>
      <c r="E157" t="s">
        <v>13</v>
      </c>
      <c r="F157" t="s">
        <v>14</v>
      </c>
      <c r="G157">
        <v>130</v>
      </c>
    </row>
    <row r="158" spans="1:7">
      <c r="A158" t="s">
        <v>353</v>
      </c>
      <c r="B158">
        <v>88529</v>
      </c>
      <c r="C158">
        <v>17554914</v>
      </c>
      <c r="D158" t="s">
        <v>354</v>
      </c>
      <c r="E158" t="s">
        <v>13</v>
      </c>
      <c r="F158" t="s">
        <v>20</v>
      </c>
      <c r="G158">
        <v>130</v>
      </c>
    </row>
    <row r="159" spans="1:7">
      <c r="A159" t="s">
        <v>381</v>
      </c>
      <c r="B159">
        <v>103778</v>
      </c>
      <c r="C159">
        <v>13982199</v>
      </c>
      <c r="D159" t="s">
        <v>382</v>
      </c>
      <c r="E159" t="s">
        <v>13</v>
      </c>
      <c r="F159" t="s">
        <v>40</v>
      </c>
      <c r="G159">
        <v>130</v>
      </c>
    </row>
    <row r="160" spans="1:7">
      <c r="A160" t="s">
        <v>565</v>
      </c>
      <c r="B160">
        <v>108194</v>
      </c>
      <c r="C160">
        <v>24094588</v>
      </c>
      <c r="D160" t="s">
        <v>566</v>
      </c>
      <c r="E160" t="s">
        <v>13</v>
      </c>
      <c r="F160" t="s">
        <v>27</v>
      </c>
      <c r="G160">
        <v>130</v>
      </c>
    </row>
    <row r="161" spans="1:7">
      <c r="A161" t="s">
        <v>85</v>
      </c>
      <c r="B161">
        <v>107160</v>
      </c>
      <c r="C161">
        <v>24078761</v>
      </c>
      <c r="D161" t="s">
        <v>86</v>
      </c>
      <c r="E161" t="s">
        <v>13</v>
      </c>
      <c r="F161" t="s">
        <v>20</v>
      </c>
      <c r="G161">
        <v>130.5</v>
      </c>
    </row>
    <row r="162" spans="1:7">
      <c r="A162" t="s">
        <v>135</v>
      </c>
      <c r="B162">
        <v>108246</v>
      </c>
      <c r="C162">
        <v>24097036</v>
      </c>
      <c r="D162" t="s">
        <v>136</v>
      </c>
      <c r="E162" t="s">
        <v>13</v>
      </c>
      <c r="F162" t="s">
        <v>14</v>
      </c>
      <c r="G162">
        <v>130.5</v>
      </c>
    </row>
    <row r="163" spans="1:7">
      <c r="A163" t="s">
        <v>201</v>
      </c>
      <c r="B163">
        <v>103998</v>
      </c>
      <c r="C163">
        <v>24035938</v>
      </c>
      <c r="D163" t="s">
        <v>202</v>
      </c>
      <c r="E163" t="s">
        <v>13</v>
      </c>
      <c r="F163" t="s">
        <v>27</v>
      </c>
      <c r="G163">
        <v>130.5</v>
      </c>
    </row>
    <row r="164" spans="1:7">
      <c r="A164" t="s">
        <v>285</v>
      </c>
      <c r="B164">
        <v>11847</v>
      </c>
      <c r="C164">
        <v>12395130</v>
      </c>
      <c r="D164" t="s">
        <v>286</v>
      </c>
      <c r="E164" t="s">
        <v>13</v>
      </c>
      <c r="F164" t="s">
        <v>17</v>
      </c>
      <c r="G164">
        <v>130.5</v>
      </c>
    </row>
    <row r="165" spans="1:7">
      <c r="A165" t="s">
        <v>641</v>
      </c>
      <c r="B165">
        <v>103987</v>
      </c>
      <c r="C165">
        <v>24037043</v>
      </c>
      <c r="D165" t="s">
        <v>642</v>
      </c>
      <c r="E165" t="s">
        <v>13</v>
      </c>
      <c r="F165" t="s">
        <v>17</v>
      </c>
      <c r="G165">
        <v>130.5</v>
      </c>
    </row>
    <row r="166" spans="1:7">
      <c r="A166" t="s">
        <v>143</v>
      </c>
      <c r="B166">
        <v>58424</v>
      </c>
      <c r="C166">
        <v>17221765</v>
      </c>
      <c r="D166" t="s">
        <v>144</v>
      </c>
      <c r="E166" t="s">
        <v>13</v>
      </c>
      <c r="F166" t="s">
        <v>17</v>
      </c>
      <c r="G166">
        <v>131</v>
      </c>
    </row>
    <row r="167" spans="1:7">
      <c r="A167" t="s">
        <v>379</v>
      </c>
      <c r="B167">
        <v>109894</v>
      </c>
      <c r="C167">
        <v>24122349</v>
      </c>
      <c r="D167" t="s">
        <v>380</v>
      </c>
      <c r="E167" t="s">
        <v>13</v>
      </c>
      <c r="F167" t="s">
        <v>14</v>
      </c>
      <c r="G167">
        <v>131</v>
      </c>
    </row>
    <row r="168" spans="1:7">
      <c r="A168" t="s">
        <v>131</v>
      </c>
      <c r="B168">
        <v>112481</v>
      </c>
      <c r="C168">
        <v>24162928</v>
      </c>
      <c r="D168" t="s">
        <v>132</v>
      </c>
      <c r="E168" t="s">
        <v>13</v>
      </c>
      <c r="F168" t="s">
        <v>17</v>
      </c>
      <c r="G168">
        <v>131.5</v>
      </c>
    </row>
    <row r="169" spans="1:7">
      <c r="A169" t="s">
        <v>475</v>
      </c>
      <c r="B169">
        <v>82264</v>
      </c>
      <c r="C169">
        <v>17469455</v>
      </c>
      <c r="D169" t="s">
        <v>476</v>
      </c>
      <c r="E169" t="s">
        <v>13</v>
      </c>
      <c r="F169" t="s">
        <v>17</v>
      </c>
      <c r="G169">
        <v>131.5</v>
      </c>
    </row>
    <row r="170" spans="1:7">
      <c r="A170" t="s">
        <v>61</v>
      </c>
      <c r="B170">
        <v>113882</v>
      </c>
      <c r="C170">
        <v>24182750</v>
      </c>
      <c r="D170" t="s">
        <v>62</v>
      </c>
      <c r="E170" t="s">
        <v>13</v>
      </c>
      <c r="F170" t="s">
        <v>20</v>
      </c>
      <c r="G170">
        <v>132.5</v>
      </c>
    </row>
    <row r="171" spans="1:7">
      <c r="A171" t="s">
        <v>145</v>
      </c>
      <c r="B171">
        <v>112187</v>
      </c>
      <c r="C171">
        <v>24158508</v>
      </c>
      <c r="D171" t="s">
        <v>146</v>
      </c>
      <c r="E171" t="s">
        <v>13</v>
      </c>
      <c r="F171" t="s">
        <v>40</v>
      </c>
      <c r="G171">
        <v>132.5</v>
      </c>
    </row>
    <row r="172" spans="1:7">
      <c r="A172" t="s">
        <v>579</v>
      </c>
      <c r="B172">
        <v>103794</v>
      </c>
      <c r="C172">
        <v>24035734</v>
      </c>
      <c r="D172" t="s">
        <v>580</v>
      </c>
      <c r="E172" t="s">
        <v>13</v>
      </c>
      <c r="F172" t="s">
        <v>20</v>
      </c>
      <c r="G172">
        <v>133</v>
      </c>
    </row>
    <row r="173" spans="1:7">
      <c r="A173" t="s">
        <v>709</v>
      </c>
      <c r="B173">
        <v>111190</v>
      </c>
      <c r="C173">
        <v>24143548</v>
      </c>
      <c r="D173" t="s">
        <v>710</v>
      </c>
      <c r="E173" t="s">
        <v>13</v>
      </c>
      <c r="F173" t="s">
        <v>17</v>
      </c>
      <c r="G173">
        <v>133</v>
      </c>
    </row>
    <row r="174" spans="1:7">
      <c r="A174" t="s">
        <v>139</v>
      </c>
      <c r="B174">
        <v>104254</v>
      </c>
      <c r="C174">
        <v>24036975</v>
      </c>
      <c r="D174" t="s">
        <v>140</v>
      </c>
      <c r="E174" t="s">
        <v>13</v>
      </c>
      <c r="F174" t="s">
        <v>40</v>
      </c>
      <c r="G174">
        <v>133.5</v>
      </c>
    </row>
    <row r="175" spans="1:7">
      <c r="A175" t="s">
        <v>199</v>
      </c>
      <c r="B175">
        <v>104350</v>
      </c>
      <c r="C175">
        <v>24036465</v>
      </c>
      <c r="D175" t="s">
        <v>200</v>
      </c>
      <c r="E175" t="s">
        <v>13</v>
      </c>
      <c r="F175" t="s">
        <v>17</v>
      </c>
      <c r="G175">
        <v>133.5</v>
      </c>
    </row>
    <row r="176" spans="1:7">
      <c r="A176" t="s">
        <v>635</v>
      </c>
      <c r="B176">
        <v>103331</v>
      </c>
      <c r="C176">
        <v>24037587</v>
      </c>
      <c r="D176" t="s">
        <v>636</v>
      </c>
      <c r="E176" t="s">
        <v>13</v>
      </c>
      <c r="F176" t="s">
        <v>40</v>
      </c>
      <c r="G176">
        <v>133.5</v>
      </c>
    </row>
    <row r="177" spans="1:7">
      <c r="A177" t="s">
        <v>307</v>
      </c>
      <c r="B177">
        <v>27010</v>
      </c>
      <c r="C177">
        <v>13963822</v>
      </c>
      <c r="D177" t="s">
        <v>308</v>
      </c>
      <c r="E177" t="s">
        <v>13</v>
      </c>
      <c r="F177" t="s">
        <v>27</v>
      </c>
      <c r="G177">
        <v>134</v>
      </c>
    </row>
    <row r="178" spans="1:7">
      <c r="A178" t="s">
        <v>555</v>
      </c>
      <c r="B178">
        <v>103266</v>
      </c>
      <c r="C178">
        <v>24037111</v>
      </c>
      <c r="D178" t="s">
        <v>556</v>
      </c>
      <c r="E178" t="s">
        <v>13</v>
      </c>
      <c r="F178" t="s">
        <v>40</v>
      </c>
      <c r="G178">
        <v>134</v>
      </c>
    </row>
    <row r="179" spans="1:7">
      <c r="A179" t="s">
        <v>107</v>
      </c>
      <c r="B179">
        <v>103690</v>
      </c>
      <c r="C179">
        <v>24037009</v>
      </c>
      <c r="D179" t="s">
        <v>108</v>
      </c>
      <c r="E179" t="s">
        <v>13</v>
      </c>
      <c r="F179" t="s">
        <v>27</v>
      </c>
      <c r="G179">
        <v>134.5</v>
      </c>
    </row>
    <row r="180" spans="1:7">
      <c r="A180" t="s">
        <v>217</v>
      </c>
      <c r="B180">
        <v>109737</v>
      </c>
      <c r="C180">
        <v>24119374</v>
      </c>
      <c r="D180" t="s">
        <v>218</v>
      </c>
      <c r="E180" t="s">
        <v>13</v>
      </c>
      <c r="F180" t="s">
        <v>20</v>
      </c>
      <c r="G180">
        <v>134.5</v>
      </c>
    </row>
    <row r="181" spans="1:7">
      <c r="A181" t="s">
        <v>151</v>
      </c>
      <c r="B181">
        <v>109892</v>
      </c>
      <c r="C181">
        <v>24123012</v>
      </c>
      <c r="D181" t="s">
        <v>152</v>
      </c>
      <c r="E181" t="s">
        <v>13</v>
      </c>
      <c r="F181" t="s">
        <v>40</v>
      </c>
      <c r="G181">
        <v>135.5</v>
      </c>
    </row>
    <row r="182" spans="1:7">
      <c r="A182" t="s">
        <v>313</v>
      </c>
      <c r="B182">
        <v>103508</v>
      </c>
      <c r="C182">
        <v>24036057</v>
      </c>
      <c r="D182" t="s">
        <v>314</v>
      </c>
      <c r="E182" t="s">
        <v>13</v>
      </c>
      <c r="F182" t="s">
        <v>14</v>
      </c>
      <c r="G182">
        <v>135.5</v>
      </c>
    </row>
    <row r="183" spans="1:7">
      <c r="A183" t="s">
        <v>331</v>
      </c>
      <c r="B183">
        <v>110994</v>
      </c>
      <c r="C183">
        <v>24140199</v>
      </c>
      <c r="D183" t="s">
        <v>332</v>
      </c>
      <c r="E183" t="s">
        <v>13</v>
      </c>
      <c r="F183" t="s">
        <v>17</v>
      </c>
      <c r="G183">
        <v>135.5</v>
      </c>
    </row>
    <row r="184" spans="1:7">
      <c r="A184" t="s">
        <v>347</v>
      </c>
      <c r="B184">
        <v>103294</v>
      </c>
      <c r="C184">
        <v>24036363</v>
      </c>
      <c r="D184" t="s">
        <v>348</v>
      </c>
      <c r="E184" t="s">
        <v>13</v>
      </c>
      <c r="F184" t="s">
        <v>27</v>
      </c>
      <c r="G184">
        <v>135.5</v>
      </c>
    </row>
    <row r="185" spans="1:7">
      <c r="A185" t="s">
        <v>575</v>
      </c>
      <c r="B185">
        <v>104204</v>
      </c>
      <c r="C185">
        <v>24037638</v>
      </c>
      <c r="D185" t="s">
        <v>576</v>
      </c>
      <c r="E185" t="s">
        <v>13</v>
      </c>
      <c r="F185" t="s">
        <v>27</v>
      </c>
      <c r="G185">
        <v>135.5</v>
      </c>
    </row>
    <row r="186" spans="1:7">
      <c r="A186" t="s">
        <v>403</v>
      </c>
      <c r="B186">
        <v>109878</v>
      </c>
      <c r="C186">
        <v>24122893</v>
      </c>
      <c r="D186" t="s">
        <v>404</v>
      </c>
      <c r="E186" t="s">
        <v>13</v>
      </c>
      <c r="F186" t="s">
        <v>14</v>
      </c>
      <c r="G186">
        <v>136</v>
      </c>
    </row>
    <row r="187" spans="1:7">
      <c r="A187" t="s">
        <v>679</v>
      </c>
      <c r="B187">
        <v>113843</v>
      </c>
      <c r="C187">
        <v>24182274</v>
      </c>
      <c r="D187" t="s">
        <v>680</v>
      </c>
      <c r="E187" t="s">
        <v>13</v>
      </c>
      <c r="F187" t="s">
        <v>14</v>
      </c>
      <c r="G187">
        <v>136</v>
      </c>
    </row>
    <row r="188" spans="1:7">
      <c r="A188" t="s">
        <v>115</v>
      </c>
      <c r="B188">
        <v>87924</v>
      </c>
      <c r="C188">
        <v>17548114</v>
      </c>
      <c r="D188" t="s">
        <v>116</v>
      </c>
      <c r="E188" t="s">
        <v>13</v>
      </c>
      <c r="F188" t="s">
        <v>14</v>
      </c>
      <c r="G188">
        <v>136.5</v>
      </c>
    </row>
    <row r="189" spans="1:7">
      <c r="A189" t="s">
        <v>325</v>
      </c>
      <c r="B189">
        <v>109872</v>
      </c>
      <c r="C189">
        <v>24122621</v>
      </c>
      <c r="D189" t="s">
        <v>326</v>
      </c>
      <c r="E189" t="s">
        <v>13</v>
      </c>
      <c r="F189" t="s">
        <v>14</v>
      </c>
      <c r="G189">
        <v>136.5</v>
      </c>
    </row>
    <row r="190" spans="1:7">
      <c r="A190" t="s">
        <v>443</v>
      </c>
      <c r="B190">
        <v>104095</v>
      </c>
      <c r="C190">
        <v>24036958</v>
      </c>
      <c r="D190" t="s">
        <v>444</v>
      </c>
      <c r="E190" t="s">
        <v>13</v>
      </c>
      <c r="F190" t="s">
        <v>17</v>
      </c>
      <c r="G190">
        <v>136.5</v>
      </c>
    </row>
    <row r="191" spans="1:7">
      <c r="A191" t="s">
        <v>451</v>
      </c>
      <c r="B191">
        <v>109981</v>
      </c>
      <c r="C191">
        <v>24122519</v>
      </c>
      <c r="D191" t="s">
        <v>452</v>
      </c>
      <c r="E191" t="s">
        <v>13</v>
      </c>
      <c r="F191" t="s">
        <v>17</v>
      </c>
      <c r="G191">
        <v>136.5</v>
      </c>
    </row>
    <row r="192" spans="1:7">
      <c r="A192" t="s">
        <v>119</v>
      </c>
      <c r="B192">
        <v>104572</v>
      </c>
      <c r="C192">
        <v>24036295</v>
      </c>
      <c r="D192" t="s">
        <v>120</v>
      </c>
      <c r="E192" t="s">
        <v>13</v>
      </c>
      <c r="F192" t="s">
        <v>17</v>
      </c>
      <c r="G192">
        <v>137.5</v>
      </c>
    </row>
    <row r="193" spans="1:7">
      <c r="A193" t="s">
        <v>361</v>
      </c>
      <c r="B193">
        <v>111096</v>
      </c>
      <c r="C193">
        <v>24142188</v>
      </c>
      <c r="D193" t="s">
        <v>362</v>
      </c>
      <c r="E193" t="s">
        <v>13</v>
      </c>
      <c r="F193" t="s">
        <v>14</v>
      </c>
      <c r="G193">
        <v>137.5</v>
      </c>
    </row>
    <row r="194" spans="1:7">
      <c r="A194" t="s">
        <v>615</v>
      </c>
      <c r="B194">
        <v>104616</v>
      </c>
      <c r="C194">
        <v>24012121</v>
      </c>
      <c r="D194" t="s">
        <v>616</v>
      </c>
      <c r="E194" t="s">
        <v>13</v>
      </c>
      <c r="F194" t="s">
        <v>27</v>
      </c>
      <c r="G194">
        <v>137.5</v>
      </c>
    </row>
    <row r="195" spans="1:7">
      <c r="A195" t="s">
        <v>283</v>
      </c>
      <c r="B195">
        <v>108803</v>
      </c>
      <c r="C195">
        <v>24105247</v>
      </c>
      <c r="D195" t="s">
        <v>284</v>
      </c>
      <c r="E195" t="s">
        <v>13</v>
      </c>
      <c r="F195" t="s">
        <v>17</v>
      </c>
      <c r="G195">
        <v>138</v>
      </c>
    </row>
    <row r="196" spans="1:7">
      <c r="A196" t="s">
        <v>349</v>
      </c>
      <c r="B196">
        <v>108062</v>
      </c>
      <c r="C196">
        <v>24092820</v>
      </c>
      <c r="D196" t="s">
        <v>350</v>
      </c>
      <c r="E196" t="s">
        <v>13</v>
      </c>
      <c r="F196" t="s">
        <v>27</v>
      </c>
      <c r="G196">
        <v>138</v>
      </c>
    </row>
    <row r="197" spans="1:7">
      <c r="A197" t="s">
        <v>195</v>
      </c>
      <c r="B197">
        <v>104033</v>
      </c>
      <c r="C197">
        <v>24036618</v>
      </c>
      <c r="D197" t="s">
        <v>196</v>
      </c>
      <c r="E197" t="s">
        <v>13</v>
      </c>
      <c r="F197" t="s">
        <v>14</v>
      </c>
      <c r="G197">
        <v>138.5</v>
      </c>
    </row>
    <row r="198" spans="1:7">
      <c r="A198" t="s">
        <v>489</v>
      </c>
      <c r="B198">
        <v>104030</v>
      </c>
      <c r="C198">
        <v>24036346</v>
      </c>
      <c r="D198" t="s">
        <v>490</v>
      </c>
      <c r="E198" t="s">
        <v>13</v>
      </c>
      <c r="F198" t="s">
        <v>17</v>
      </c>
      <c r="G198">
        <v>138.5</v>
      </c>
    </row>
    <row r="199" spans="1:7">
      <c r="A199" t="s">
        <v>595</v>
      </c>
      <c r="B199">
        <v>109951</v>
      </c>
      <c r="C199">
        <v>24122808</v>
      </c>
      <c r="D199" t="s">
        <v>596</v>
      </c>
      <c r="E199" t="s">
        <v>13</v>
      </c>
      <c r="F199" t="s">
        <v>17</v>
      </c>
      <c r="G199">
        <v>138.5</v>
      </c>
    </row>
    <row r="200" spans="1:7">
      <c r="A200" t="s">
        <v>263</v>
      </c>
      <c r="B200">
        <v>104392</v>
      </c>
      <c r="C200">
        <v>24036125</v>
      </c>
      <c r="D200" t="s">
        <v>264</v>
      </c>
      <c r="E200" t="s">
        <v>13</v>
      </c>
      <c r="F200" t="s">
        <v>27</v>
      </c>
      <c r="G200">
        <v>139</v>
      </c>
    </row>
    <row r="201" spans="1:7">
      <c r="A201" t="s">
        <v>225</v>
      </c>
      <c r="B201">
        <v>107237</v>
      </c>
      <c r="C201">
        <v>24080121</v>
      </c>
      <c r="D201" t="s">
        <v>226</v>
      </c>
      <c r="E201" t="s">
        <v>13</v>
      </c>
      <c r="F201" t="s">
        <v>40</v>
      </c>
      <c r="G201">
        <v>139.5</v>
      </c>
    </row>
    <row r="202" spans="1:7">
      <c r="A202" t="s">
        <v>675</v>
      </c>
      <c r="B202">
        <v>108413</v>
      </c>
      <c r="C202">
        <v>24099365</v>
      </c>
      <c r="D202" t="s">
        <v>676</v>
      </c>
      <c r="E202" t="s">
        <v>13</v>
      </c>
      <c r="F202" t="s">
        <v>40</v>
      </c>
      <c r="G202">
        <v>139.5</v>
      </c>
    </row>
    <row r="203" spans="1:7">
      <c r="A203" t="s">
        <v>369</v>
      </c>
      <c r="B203">
        <v>104411</v>
      </c>
      <c r="C203">
        <v>24035836</v>
      </c>
      <c r="D203" t="s">
        <v>370</v>
      </c>
      <c r="E203" t="s">
        <v>13</v>
      </c>
      <c r="F203" t="s">
        <v>27</v>
      </c>
      <c r="G203">
        <v>140</v>
      </c>
    </row>
    <row r="204" spans="1:7">
      <c r="A204" t="s">
        <v>275</v>
      </c>
      <c r="B204">
        <v>104619</v>
      </c>
      <c r="C204">
        <v>24035870</v>
      </c>
      <c r="D204" t="s">
        <v>276</v>
      </c>
      <c r="E204" t="s">
        <v>13</v>
      </c>
      <c r="F204" t="s">
        <v>14</v>
      </c>
      <c r="G204">
        <v>140.5</v>
      </c>
    </row>
    <row r="205" spans="1:7">
      <c r="A205" t="s">
        <v>481</v>
      </c>
      <c r="B205">
        <v>112209</v>
      </c>
      <c r="C205">
        <v>24158338</v>
      </c>
      <c r="D205" t="s">
        <v>482</v>
      </c>
      <c r="E205" t="s">
        <v>13</v>
      </c>
      <c r="F205" t="s">
        <v>14</v>
      </c>
      <c r="G205">
        <v>140.5</v>
      </c>
    </row>
    <row r="206" spans="1:7">
      <c r="A206" t="s">
        <v>469</v>
      </c>
      <c r="B206">
        <v>108256</v>
      </c>
      <c r="C206">
        <v>24096968</v>
      </c>
      <c r="D206" t="s">
        <v>470</v>
      </c>
      <c r="E206" t="s">
        <v>13</v>
      </c>
      <c r="F206" t="s">
        <v>14</v>
      </c>
      <c r="G206">
        <v>141</v>
      </c>
    </row>
    <row r="207" spans="1:7">
      <c r="A207" t="s">
        <v>509</v>
      </c>
      <c r="B207">
        <v>111057</v>
      </c>
      <c r="C207">
        <v>24142103</v>
      </c>
      <c r="D207" t="s">
        <v>510</v>
      </c>
      <c r="E207" t="s">
        <v>13</v>
      </c>
      <c r="F207" t="s">
        <v>40</v>
      </c>
      <c r="G207">
        <v>141</v>
      </c>
    </row>
    <row r="208" spans="1:7">
      <c r="A208" t="s">
        <v>25</v>
      </c>
      <c r="B208">
        <v>107139</v>
      </c>
      <c r="C208">
        <v>24079968</v>
      </c>
      <c r="D208" t="s">
        <v>26</v>
      </c>
      <c r="E208" t="s">
        <v>13</v>
      </c>
      <c r="F208" t="s">
        <v>27</v>
      </c>
      <c r="G208">
        <v>141.5</v>
      </c>
    </row>
    <row r="209" spans="1:7">
      <c r="A209" t="s">
        <v>493</v>
      </c>
      <c r="B209">
        <v>109902</v>
      </c>
      <c r="C209">
        <v>24122026</v>
      </c>
      <c r="D209" t="s">
        <v>494</v>
      </c>
      <c r="E209" t="s">
        <v>13</v>
      </c>
      <c r="F209" t="s">
        <v>27</v>
      </c>
      <c r="G209">
        <v>141.5</v>
      </c>
    </row>
    <row r="210" spans="1:7">
      <c r="A210" t="s">
        <v>621</v>
      </c>
      <c r="B210">
        <v>109793</v>
      </c>
      <c r="C210">
        <v>24119884</v>
      </c>
      <c r="D210" t="s">
        <v>622</v>
      </c>
      <c r="E210" t="s">
        <v>13</v>
      </c>
      <c r="F210" t="s">
        <v>14</v>
      </c>
      <c r="G210">
        <v>141.5</v>
      </c>
    </row>
    <row r="211" spans="1:7">
      <c r="A211" t="s">
        <v>623</v>
      </c>
      <c r="B211">
        <v>108212</v>
      </c>
      <c r="C211">
        <v>24094571</v>
      </c>
      <c r="D211" t="s">
        <v>624</v>
      </c>
      <c r="E211" t="s">
        <v>13</v>
      </c>
      <c r="F211" t="s">
        <v>20</v>
      </c>
      <c r="G211">
        <v>141.5</v>
      </c>
    </row>
    <row r="212" spans="1:7">
      <c r="A212" t="s">
        <v>691</v>
      </c>
      <c r="B212">
        <v>109976</v>
      </c>
      <c r="C212">
        <v>24122876</v>
      </c>
      <c r="D212" t="s">
        <v>692</v>
      </c>
      <c r="E212" t="s">
        <v>13</v>
      </c>
      <c r="F212" t="s">
        <v>40</v>
      </c>
      <c r="G212">
        <v>141.5</v>
      </c>
    </row>
    <row r="213" spans="1:7">
      <c r="A213" t="s">
        <v>251</v>
      </c>
      <c r="B213">
        <v>108672</v>
      </c>
      <c r="C213">
        <v>24102833</v>
      </c>
      <c r="D213" t="s">
        <v>252</v>
      </c>
      <c r="E213" t="s">
        <v>13</v>
      </c>
      <c r="F213" t="s">
        <v>20</v>
      </c>
      <c r="G213">
        <v>142</v>
      </c>
    </row>
    <row r="214" spans="1:7">
      <c r="A214" t="s">
        <v>511</v>
      </c>
      <c r="B214">
        <v>112164</v>
      </c>
      <c r="C214">
        <v>24158457</v>
      </c>
      <c r="D214" t="s">
        <v>512</v>
      </c>
      <c r="E214" t="s">
        <v>13</v>
      </c>
      <c r="F214" t="s">
        <v>17</v>
      </c>
      <c r="G214">
        <v>142</v>
      </c>
    </row>
    <row r="215" spans="1:7">
      <c r="A215" t="s">
        <v>723</v>
      </c>
      <c r="B215">
        <v>107961</v>
      </c>
      <c r="C215">
        <v>24092735</v>
      </c>
      <c r="D215" t="s">
        <v>724</v>
      </c>
      <c r="E215" t="s">
        <v>13</v>
      </c>
      <c r="F215" t="s">
        <v>20</v>
      </c>
      <c r="G215">
        <v>142</v>
      </c>
    </row>
    <row r="216" spans="1:7">
      <c r="A216" t="s">
        <v>605</v>
      </c>
      <c r="B216">
        <v>16906</v>
      </c>
      <c r="C216">
        <v>13144524</v>
      </c>
      <c r="D216" t="s">
        <v>606</v>
      </c>
      <c r="E216" t="s">
        <v>13</v>
      </c>
      <c r="F216" t="s">
        <v>27</v>
      </c>
      <c r="G216">
        <v>142.5</v>
      </c>
    </row>
    <row r="217" spans="1:7">
      <c r="A217" t="s">
        <v>663</v>
      </c>
      <c r="B217">
        <v>109795</v>
      </c>
      <c r="C217">
        <v>24119748</v>
      </c>
      <c r="D217" t="s">
        <v>664</v>
      </c>
      <c r="E217" t="s">
        <v>13</v>
      </c>
      <c r="F217" t="s">
        <v>40</v>
      </c>
      <c r="G217">
        <v>142.5</v>
      </c>
    </row>
    <row r="218" spans="1:7">
      <c r="A218" t="s">
        <v>329</v>
      </c>
      <c r="B218">
        <v>112521</v>
      </c>
      <c r="C218">
        <v>24162945</v>
      </c>
      <c r="D218" t="s">
        <v>330</v>
      </c>
      <c r="E218" t="s">
        <v>13</v>
      </c>
      <c r="F218" t="s">
        <v>40</v>
      </c>
      <c r="G218">
        <v>143</v>
      </c>
    </row>
    <row r="219" spans="1:7">
      <c r="A219" t="s">
        <v>153</v>
      </c>
      <c r="B219">
        <v>103840</v>
      </c>
      <c r="C219">
        <v>24037434</v>
      </c>
      <c r="D219" t="s">
        <v>154</v>
      </c>
      <c r="E219" t="s">
        <v>13</v>
      </c>
      <c r="F219" t="s">
        <v>20</v>
      </c>
      <c r="G219">
        <v>143.5</v>
      </c>
    </row>
    <row r="220" spans="1:7">
      <c r="A220" t="s">
        <v>163</v>
      </c>
      <c r="B220">
        <v>103728</v>
      </c>
      <c r="C220">
        <v>24036890</v>
      </c>
      <c r="D220" t="s">
        <v>164</v>
      </c>
      <c r="E220" t="s">
        <v>13</v>
      </c>
      <c r="F220" t="s">
        <v>40</v>
      </c>
      <c r="G220">
        <v>143.5</v>
      </c>
    </row>
    <row r="221" spans="1:7">
      <c r="A221" t="s">
        <v>193</v>
      </c>
      <c r="B221">
        <v>108241</v>
      </c>
      <c r="C221">
        <v>24096543</v>
      </c>
      <c r="D221" t="s">
        <v>194</v>
      </c>
      <c r="E221" t="s">
        <v>13</v>
      </c>
      <c r="F221" t="s">
        <v>27</v>
      </c>
      <c r="G221">
        <v>144</v>
      </c>
    </row>
    <row r="222" spans="1:7">
      <c r="A222" t="s">
        <v>503</v>
      </c>
      <c r="B222">
        <v>110576</v>
      </c>
      <c r="C222">
        <v>24134470</v>
      </c>
      <c r="D222" t="s">
        <v>504</v>
      </c>
      <c r="E222" t="s">
        <v>13</v>
      </c>
      <c r="F222" t="s">
        <v>20</v>
      </c>
      <c r="G222">
        <v>144</v>
      </c>
    </row>
    <row r="223" spans="1:7">
      <c r="A223" t="s">
        <v>203</v>
      </c>
      <c r="B223">
        <v>109433</v>
      </c>
      <c r="C223">
        <v>24115821</v>
      </c>
      <c r="D223" t="s">
        <v>204</v>
      </c>
      <c r="E223" t="s">
        <v>13</v>
      </c>
      <c r="F223" t="s">
        <v>20</v>
      </c>
      <c r="G223">
        <v>144.5</v>
      </c>
    </row>
    <row r="224" spans="1:7">
      <c r="A224" t="s">
        <v>513</v>
      </c>
      <c r="B224">
        <v>110344</v>
      </c>
      <c r="C224">
        <v>24130696</v>
      </c>
      <c r="D224" t="s">
        <v>514</v>
      </c>
      <c r="E224" t="s">
        <v>13</v>
      </c>
      <c r="F224" t="s">
        <v>20</v>
      </c>
      <c r="G224">
        <v>144.5</v>
      </c>
    </row>
    <row r="225" spans="1:7">
      <c r="A225" t="s">
        <v>673</v>
      </c>
      <c r="B225">
        <v>112216</v>
      </c>
      <c r="C225">
        <v>24158491</v>
      </c>
      <c r="D225" t="s">
        <v>674</v>
      </c>
      <c r="E225" t="s">
        <v>13</v>
      </c>
      <c r="F225" t="s">
        <v>40</v>
      </c>
      <c r="G225">
        <v>144.5</v>
      </c>
    </row>
    <row r="226" spans="1:7">
      <c r="A226" t="s">
        <v>79</v>
      </c>
      <c r="B226">
        <v>109912</v>
      </c>
      <c r="C226">
        <v>24123046</v>
      </c>
      <c r="D226" t="s">
        <v>80</v>
      </c>
      <c r="E226" t="s">
        <v>13</v>
      </c>
      <c r="F226" t="s">
        <v>20</v>
      </c>
      <c r="G226">
        <v>145</v>
      </c>
    </row>
    <row r="227" spans="1:7">
      <c r="A227" t="s">
        <v>229</v>
      </c>
      <c r="B227">
        <v>106578</v>
      </c>
      <c r="C227">
        <v>24068323</v>
      </c>
      <c r="D227" t="s">
        <v>230</v>
      </c>
      <c r="E227" t="s">
        <v>13</v>
      </c>
      <c r="F227" t="s">
        <v>40</v>
      </c>
      <c r="G227">
        <v>145</v>
      </c>
    </row>
    <row r="228" spans="1:7">
      <c r="A228" t="s">
        <v>661</v>
      </c>
      <c r="B228">
        <v>107806</v>
      </c>
      <c r="C228">
        <v>13958994</v>
      </c>
      <c r="D228" t="s">
        <v>662</v>
      </c>
      <c r="E228" t="s">
        <v>13</v>
      </c>
      <c r="F228" t="s">
        <v>17</v>
      </c>
      <c r="G228">
        <v>145</v>
      </c>
    </row>
    <row r="229" spans="1:7">
      <c r="A229" t="s">
        <v>89</v>
      </c>
      <c r="B229">
        <v>109888</v>
      </c>
      <c r="C229">
        <v>24122791</v>
      </c>
      <c r="D229" t="s">
        <v>90</v>
      </c>
      <c r="E229" t="s">
        <v>13</v>
      </c>
      <c r="F229" t="s">
        <v>27</v>
      </c>
      <c r="G229">
        <v>145.5</v>
      </c>
    </row>
    <row r="230" spans="1:7">
      <c r="A230" t="s">
        <v>289</v>
      </c>
      <c r="B230">
        <v>112183</v>
      </c>
      <c r="C230">
        <v>24158304</v>
      </c>
      <c r="D230" t="s">
        <v>290</v>
      </c>
      <c r="E230" t="s">
        <v>13</v>
      </c>
      <c r="F230" t="s">
        <v>40</v>
      </c>
      <c r="G230">
        <v>145.5</v>
      </c>
    </row>
    <row r="231" spans="1:7">
      <c r="A231" t="s">
        <v>327</v>
      </c>
      <c r="B231">
        <v>103485</v>
      </c>
      <c r="C231">
        <v>24037468</v>
      </c>
      <c r="D231" t="s">
        <v>328</v>
      </c>
      <c r="E231" t="s">
        <v>13</v>
      </c>
      <c r="F231" t="s">
        <v>20</v>
      </c>
      <c r="G231">
        <v>145.5</v>
      </c>
    </row>
    <row r="232" spans="1:7">
      <c r="A232" t="s">
        <v>121</v>
      </c>
      <c r="B232">
        <v>104377</v>
      </c>
      <c r="C232">
        <v>24036533</v>
      </c>
      <c r="D232" t="s">
        <v>122</v>
      </c>
      <c r="E232" t="s">
        <v>13</v>
      </c>
      <c r="F232" t="s">
        <v>17</v>
      </c>
      <c r="G232">
        <v>146</v>
      </c>
    </row>
    <row r="233" spans="1:7">
      <c r="A233" t="s">
        <v>261</v>
      </c>
      <c r="B233">
        <v>102985</v>
      </c>
      <c r="C233">
        <v>24035853</v>
      </c>
      <c r="D233" t="s">
        <v>262</v>
      </c>
      <c r="E233" t="s">
        <v>13</v>
      </c>
      <c r="F233" t="s">
        <v>14</v>
      </c>
      <c r="G233">
        <v>146</v>
      </c>
    </row>
    <row r="234" spans="1:7">
      <c r="A234" t="s">
        <v>429</v>
      </c>
      <c r="B234">
        <v>87281</v>
      </c>
      <c r="C234">
        <v>17539835</v>
      </c>
      <c r="D234" t="s">
        <v>430</v>
      </c>
      <c r="E234" t="s">
        <v>13</v>
      </c>
      <c r="F234" t="s">
        <v>14</v>
      </c>
      <c r="G234">
        <v>146</v>
      </c>
    </row>
    <row r="235" spans="1:7">
      <c r="A235" t="s">
        <v>589</v>
      </c>
      <c r="B235">
        <v>112374</v>
      </c>
      <c r="C235">
        <v>24161177</v>
      </c>
      <c r="D235" t="s">
        <v>590</v>
      </c>
      <c r="E235" t="s">
        <v>13</v>
      </c>
      <c r="F235" t="s">
        <v>27</v>
      </c>
      <c r="G235">
        <v>146.5</v>
      </c>
    </row>
    <row r="236" spans="1:7">
      <c r="A236" t="s">
        <v>731</v>
      </c>
      <c r="B236">
        <v>107295</v>
      </c>
      <c r="C236">
        <v>24081277</v>
      </c>
      <c r="D236" t="s">
        <v>732</v>
      </c>
      <c r="E236" t="s">
        <v>13</v>
      </c>
      <c r="F236" t="s">
        <v>17</v>
      </c>
      <c r="G236">
        <v>146.5</v>
      </c>
    </row>
    <row r="237" spans="1:7">
      <c r="A237" t="s">
        <v>377</v>
      </c>
      <c r="B237">
        <v>111720</v>
      </c>
      <c r="C237">
        <v>24151181</v>
      </c>
      <c r="D237" t="s">
        <v>378</v>
      </c>
      <c r="E237" t="s">
        <v>13</v>
      </c>
      <c r="F237" t="s">
        <v>14</v>
      </c>
      <c r="G237">
        <v>147</v>
      </c>
    </row>
    <row r="238" spans="1:7">
      <c r="A238" t="s">
        <v>539</v>
      </c>
      <c r="B238">
        <v>107210</v>
      </c>
      <c r="C238">
        <v>24080104</v>
      </c>
      <c r="D238" t="s">
        <v>540</v>
      </c>
      <c r="E238" t="s">
        <v>13</v>
      </c>
      <c r="F238" t="s">
        <v>20</v>
      </c>
      <c r="G238">
        <v>147</v>
      </c>
    </row>
    <row r="239" spans="1:7">
      <c r="A239" t="s">
        <v>137</v>
      </c>
      <c r="B239">
        <v>109765</v>
      </c>
      <c r="C239">
        <v>24119561</v>
      </c>
      <c r="D239" t="s">
        <v>138</v>
      </c>
      <c r="E239" t="s">
        <v>13</v>
      </c>
      <c r="F239" t="s">
        <v>27</v>
      </c>
      <c r="G239">
        <v>147.5</v>
      </c>
    </row>
    <row r="240" spans="1:7">
      <c r="A240" t="s">
        <v>321</v>
      </c>
      <c r="B240">
        <v>103846</v>
      </c>
      <c r="C240">
        <v>24037179</v>
      </c>
      <c r="D240" t="s">
        <v>322</v>
      </c>
      <c r="E240" t="s">
        <v>13</v>
      </c>
      <c r="F240" t="s">
        <v>17</v>
      </c>
      <c r="G240">
        <v>147.5</v>
      </c>
    </row>
    <row r="241" spans="1:7">
      <c r="A241" t="s">
        <v>543</v>
      </c>
      <c r="B241">
        <v>103113</v>
      </c>
      <c r="C241">
        <v>24035666</v>
      </c>
      <c r="D241" t="s">
        <v>544</v>
      </c>
      <c r="E241" t="s">
        <v>13</v>
      </c>
      <c r="F241" t="s">
        <v>20</v>
      </c>
      <c r="G241">
        <v>147.5</v>
      </c>
    </row>
    <row r="242" spans="1:7">
      <c r="A242" t="s">
        <v>601</v>
      </c>
      <c r="B242">
        <v>107612</v>
      </c>
      <c r="C242">
        <v>24086309</v>
      </c>
      <c r="D242" t="s">
        <v>602</v>
      </c>
      <c r="E242" t="s">
        <v>13</v>
      </c>
      <c r="F242" t="s">
        <v>20</v>
      </c>
      <c r="G242">
        <v>147.5</v>
      </c>
    </row>
    <row r="243" spans="1:7">
      <c r="A243" t="s">
        <v>699</v>
      </c>
      <c r="B243">
        <v>103242</v>
      </c>
      <c r="C243">
        <v>24036482</v>
      </c>
      <c r="D243" t="s">
        <v>700</v>
      </c>
      <c r="E243" t="s">
        <v>13</v>
      </c>
      <c r="F243" t="s">
        <v>27</v>
      </c>
      <c r="G243">
        <v>147.5</v>
      </c>
    </row>
    <row r="244" spans="1:7">
      <c r="A244" t="s">
        <v>553</v>
      </c>
      <c r="B244">
        <v>109602</v>
      </c>
      <c r="C244">
        <v>24119697</v>
      </c>
      <c r="D244" t="s">
        <v>554</v>
      </c>
      <c r="E244" t="s">
        <v>13</v>
      </c>
      <c r="F244" t="s">
        <v>40</v>
      </c>
      <c r="G244">
        <v>148</v>
      </c>
    </row>
    <row r="245" spans="1:7">
      <c r="A245" t="s">
        <v>109</v>
      </c>
      <c r="B245">
        <v>103141</v>
      </c>
      <c r="C245">
        <v>24036737</v>
      </c>
      <c r="D245" t="s">
        <v>110</v>
      </c>
      <c r="E245" t="s">
        <v>13</v>
      </c>
      <c r="F245" t="s">
        <v>27</v>
      </c>
      <c r="G245">
        <v>148.5</v>
      </c>
    </row>
    <row r="246" spans="1:7">
      <c r="A246" t="s">
        <v>425</v>
      </c>
      <c r="B246">
        <v>103679</v>
      </c>
      <c r="C246">
        <v>24036091</v>
      </c>
      <c r="D246" t="s">
        <v>426</v>
      </c>
      <c r="E246" t="s">
        <v>13</v>
      </c>
      <c r="F246" t="s">
        <v>27</v>
      </c>
      <c r="G246">
        <v>148.5</v>
      </c>
    </row>
    <row r="247" spans="1:7">
      <c r="A247" t="s">
        <v>703</v>
      </c>
      <c r="B247">
        <v>111513</v>
      </c>
      <c r="C247">
        <v>24149209</v>
      </c>
      <c r="D247" t="s">
        <v>704</v>
      </c>
      <c r="E247" t="s">
        <v>13</v>
      </c>
      <c r="F247" t="s">
        <v>14</v>
      </c>
      <c r="G247">
        <v>148.5</v>
      </c>
    </row>
    <row r="248" spans="1:7">
      <c r="A248" t="s">
        <v>243</v>
      </c>
      <c r="B248">
        <v>104900</v>
      </c>
      <c r="C248">
        <v>24042534</v>
      </c>
      <c r="D248" t="s">
        <v>244</v>
      </c>
      <c r="E248" t="s">
        <v>13</v>
      </c>
      <c r="F248" t="s">
        <v>20</v>
      </c>
      <c r="G248">
        <v>149</v>
      </c>
    </row>
    <row r="249" spans="1:7">
      <c r="A249" t="s">
        <v>685</v>
      </c>
      <c r="B249">
        <v>31505</v>
      </c>
      <c r="C249">
        <v>17137564</v>
      </c>
      <c r="D249" t="s">
        <v>686</v>
      </c>
      <c r="E249" t="s">
        <v>13</v>
      </c>
      <c r="F249" t="s">
        <v>20</v>
      </c>
      <c r="G249">
        <v>149</v>
      </c>
    </row>
    <row r="250" spans="1:7">
      <c r="A250" t="s">
        <v>483</v>
      </c>
      <c r="B250">
        <v>103104</v>
      </c>
      <c r="C250">
        <v>24036380</v>
      </c>
      <c r="D250" t="s">
        <v>484</v>
      </c>
      <c r="E250" t="s">
        <v>13</v>
      </c>
      <c r="F250" t="s">
        <v>20</v>
      </c>
      <c r="G250">
        <v>149.5</v>
      </c>
    </row>
    <row r="251" spans="1:7">
      <c r="A251" t="s">
        <v>103</v>
      </c>
      <c r="B251">
        <v>104456</v>
      </c>
      <c r="C251">
        <v>24036601</v>
      </c>
      <c r="D251" t="s">
        <v>104</v>
      </c>
      <c r="E251" t="s">
        <v>13</v>
      </c>
      <c r="F251" t="s">
        <v>17</v>
      </c>
      <c r="G251">
        <v>150</v>
      </c>
    </row>
    <row r="252" spans="1:7">
      <c r="A252" t="s">
        <v>117</v>
      </c>
      <c r="B252">
        <v>109675</v>
      </c>
      <c r="C252">
        <v>24119901</v>
      </c>
      <c r="D252" t="s">
        <v>118</v>
      </c>
      <c r="E252" t="s">
        <v>13</v>
      </c>
      <c r="F252" t="s">
        <v>14</v>
      </c>
      <c r="G252">
        <v>150</v>
      </c>
    </row>
    <row r="253" spans="1:7">
      <c r="A253" t="s">
        <v>277</v>
      </c>
      <c r="B253">
        <v>104467</v>
      </c>
      <c r="C253">
        <v>24011934</v>
      </c>
      <c r="D253" t="s">
        <v>278</v>
      </c>
      <c r="E253" t="s">
        <v>13</v>
      </c>
      <c r="F253" t="s">
        <v>27</v>
      </c>
      <c r="G253">
        <v>150</v>
      </c>
    </row>
    <row r="254" spans="1:7">
      <c r="A254" t="s">
        <v>387</v>
      </c>
      <c r="B254">
        <v>104077</v>
      </c>
      <c r="C254">
        <v>24036856</v>
      </c>
      <c r="D254" t="s">
        <v>388</v>
      </c>
      <c r="E254" t="s">
        <v>13</v>
      </c>
      <c r="F254" t="s">
        <v>20</v>
      </c>
      <c r="G254">
        <v>150</v>
      </c>
    </row>
    <row r="255" spans="1:7">
      <c r="A255" t="s">
        <v>427</v>
      </c>
      <c r="B255">
        <v>109391</v>
      </c>
      <c r="C255">
        <v>24115855</v>
      </c>
      <c r="D255" t="s">
        <v>428</v>
      </c>
      <c r="E255" t="s">
        <v>13</v>
      </c>
      <c r="F255" t="s">
        <v>14</v>
      </c>
      <c r="G255">
        <v>150</v>
      </c>
    </row>
    <row r="256" spans="1:7">
      <c r="A256" t="s">
        <v>487</v>
      </c>
      <c r="B256">
        <v>108056</v>
      </c>
      <c r="C256">
        <v>24092752</v>
      </c>
      <c r="D256" t="s">
        <v>488</v>
      </c>
      <c r="E256" t="s">
        <v>13</v>
      </c>
      <c r="F256" t="s">
        <v>20</v>
      </c>
      <c r="G256">
        <v>150</v>
      </c>
    </row>
    <row r="257" spans="1:7">
      <c r="A257" t="s">
        <v>111</v>
      </c>
      <c r="B257">
        <v>110277</v>
      </c>
      <c r="C257">
        <v>24129370</v>
      </c>
      <c r="D257" t="s">
        <v>112</v>
      </c>
      <c r="E257" t="s">
        <v>13</v>
      </c>
      <c r="F257" t="s">
        <v>17</v>
      </c>
      <c r="G257">
        <v>150.5</v>
      </c>
    </row>
    <row r="258" spans="1:7">
      <c r="A258" t="s">
        <v>249</v>
      </c>
      <c r="B258">
        <v>108840</v>
      </c>
      <c r="C258">
        <v>24105281</v>
      </c>
      <c r="D258" t="s">
        <v>250</v>
      </c>
      <c r="E258" t="s">
        <v>13</v>
      </c>
      <c r="F258" t="s">
        <v>40</v>
      </c>
      <c r="G258">
        <v>150.5</v>
      </c>
    </row>
    <row r="259" spans="1:7">
      <c r="A259" t="s">
        <v>257</v>
      </c>
      <c r="B259">
        <v>103051</v>
      </c>
      <c r="C259">
        <v>24011917</v>
      </c>
      <c r="D259" t="s">
        <v>258</v>
      </c>
      <c r="E259" t="s">
        <v>13</v>
      </c>
      <c r="F259" t="s">
        <v>14</v>
      </c>
      <c r="G259">
        <v>150.5</v>
      </c>
    </row>
    <row r="260" spans="1:7">
      <c r="A260" t="s">
        <v>497</v>
      </c>
      <c r="B260">
        <v>1445</v>
      </c>
      <c r="C260">
        <v>14801293</v>
      </c>
      <c r="D260" t="s">
        <v>498</v>
      </c>
      <c r="E260" t="s">
        <v>13</v>
      </c>
      <c r="F260" t="s">
        <v>14</v>
      </c>
      <c r="G260">
        <v>150.5</v>
      </c>
    </row>
    <row r="261" spans="1:7">
      <c r="A261" t="s">
        <v>501</v>
      </c>
      <c r="B261">
        <v>104208</v>
      </c>
      <c r="C261">
        <v>24036686</v>
      </c>
      <c r="D261" t="s">
        <v>502</v>
      </c>
      <c r="E261" t="s">
        <v>13</v>
      </c>
      <c r="F261" t="s">
        <v>14</v>
      </c>
      <c r="G261">
        <v>150.5</v>
      </c>
    </row>
    <row r="262" spans="1:7">
      <c r="A262" t="s">
        <v>385</v>
      </c>
      <c r="B262">
        <v>104237</v>
      </c>
      <c r="C262">
        <v>24011815</v>
      </c>
      <c r="D262" t="s">
        <v>386</v>
      </c>
      <c r="E262" t="s">
        <v>13</v>
      </c>
      <c r="F262" t="s">
        <v>17</v>
      </c>
      <c r="G262">
        <v>151</v>
      </c>
    </row>
    <row r="263" spans="1:7">
      <c r="A263" t="s">
        <v>419</v>
      </c>
      <c r="B263">
        <v>107203</v>
      </c>
      <c r="C263">
        <v>24078812</v>
      </c>
      <c r="D263" t="s">
        <v>420</v>
      </c>
      <c r="E263" t="s">
        <v>13</v>
      </c>
      <c r="F263" t="s">
        <v>40</v>
      </c>
      <c r="G263">
        <v>151</v>
      </c>
    </row>
    <row r="264" spans="1:7">
      <c r="A264" t="s">
        <v>129</v>
      </c>
      <c r="B264">
        <v>109971</v>
      </c>
      <c r="C264">
        <v>24122927</v>
      </c>
      <c r="D264" t="s">
        <v>130</v>
      </c>
      <c r="E264" t="s">
        <v>13</v>
      </c>
      <c r="F264" t="s">
        <v>27</v>
      </c>
      <c r="G264">
        <v>151.5</v>
      </c>
    </row>
    <row r="265" spans="1:7">
      <c r="A265" t="s">
        <v>165</v>
      </c>
      <c r="B265">
        <v>103988</v>
      </c>
      <c r="C265">
        <v>24035717</v>
      </c>
      <c r="D265" t="s">
        <v>166</v>
      </c>
      <c r="E265" t="s">
        <v>13</v>
      </c>
      <c r="F265" t="s">
        <v>17</v>
      </c>
      <c r="G265">
        <v>151.5</v>
      </c>
    </row>
    <row r="266" spans="1:7">
      <c r="A266" t="s">
        <v>221</v>
      </c>
      <c r="B266">
        <v>107201</v>
      </c>
      <c r="C266">
        <v>24079424</v>
      </c>
      <c r="D266" t="s">
        <v>222</v>
      </c>
      <c r="E266" t="s">
        <v>13</v>
      </c>
      <c r="F266" t="s">
        <v>27</v>
      </c>
      <c r="G266">
        <v>151.5</v>
      </c>
    </row>
    <row r="267" spans="1:7">
      <c r="A267" t="s">
        <v>633</v>
      </c>
      <c r="B267">
        <v>103227</v>
      </c>
      <c r="C267">
        <v>24035751</v>
      </c>
      <c r="D267" t="s">
        <v>634</v>
      </c>
      <c r="E267" t="s">
        <v>13</v>
      </c>
      <c r="F267" t="s">
        <v>20</v>
      </c>
      <c r="G267">
        <v>151.5</v>
      </c>
    </row>
    <row r="268" spans="1:7">
      <c r="A268" t="s">
        <v>38</v>
      </c>
      <c r="B268">
        <v>103925</v>
      </c>
      <c r="C268">
        <v>24036227</v>
      </c>
      <c r="D268" t="s">
        <v>39</v>
      </c>
      <c r="E268" t="s">
        <v>13</v>
      </c>
      <c r="F268" t="s">
        <v>40</v>
      </c>
      <c r="G268">
        <v>152</v>
      </c>
    </row>
    <row r="269" spans="1:7">
      <c r="A269" t="s">
        <v>447</v>
      </c>
      <c r="B269">
        <v>108226</v>
      </c>
      <c r="C269">
        <v>24094605</v>
      </c>
      <c r="D269" t="s">
        <v>448</v>
      </c>
      <c r="E269" t="s">
        <v>13</v>
      </c>
      <c r="F269" t="s">
        <v>20</v>
      </c>
      <c r="G269">
        <v>152.5</v>
      </c>
    </row>
    <row r="270" spans="1:7">
      <c r="A270" t="s">
        <v>521</v>
      </c>
      <c r="B270">
        <v>104255</v>
      </c>
      <c r="C270">
        <v>24035649</v>
      </c>
      <c r="D270" t="s">
        <v>522</v>
      </c>
      <c r="E270" t="s">
        <v>13</v>
      </c>
      <c r="F270" t="s">
        <v>17</v>
      </c>
      <c r="G270">
        <v>152.5</v>
      </c>
    </row>
    <row r="271" spans="1:7">
      <c r="A271" t="s">
        <v>523</v>
      </c>
      <c r="B271">
        <v>112175</v>
      </c>
      <c r="C271">
        <v>24158321</v>
      </c>
      <c r="D271" t="s">
        <v>524</v>
      </c>
      <c r="E271" t="s">
        <v>13</v>
      </c>
      <c r="F271" t="s">
        <v>14</v>
      </c>
      <c r="G271">
        <v>152.5</v>
      </c>
    </row>
    <row r="272" spans="1:7">
      <c r="A272" t="s">
        <v>593</v>
      </c>
      <c r="B272">
        <v>111146</v>
      </c>
      <c r="C272">
        <v>24143803</v>
      </c>
      <c r="D272" t="s">
        <v>594</v>
      </c>
      <c r="E272" t="s">
        <v>13</v>
      </c>
      <c r="F272" t="s">
        <v>40</v>
      </c>
      <c r="G272">
        <v>152.5</v>
      </c>
    </row>
    <row r="273" spans="1:7">
      <c r="A273" t="s">
        <v>725</v>
      </c>
      <c r="B273">
        <v>108757</v>
      </c>
      <c r="C273">
        <v>24103326</v>
      </c>
      <c r="D273" t="s">
        <v>726</v>
      </c>
      <c r="E273" t="s">
        <v>13</v>
      </c>
      <c r="F273" t="s">
        <v>17</v>
      </c>
      <c r="G273">
        <v>152.5</v>
      </c>
    </row>
    <row r="274" spans="1:7">
      <c r="A274" t="s">
        <v>241</v>
      </c>
      <c r="B274">
        <v>112210</v>
      </c>
      <c r="C274">
        <v>24158389</v>
      </c>
      <c r="D274" t="s">
        <v>242</v>
      </c>
      <c r="E274" t="s">
        <v>13</v>
      </c>
      <c r="F274" t="s">
        <v>20</v>
      </c>
      <c r="G274">
        <v>153</v>
      </c>
    </row>
    <row r="275" spans="1:7">
      <c r="A275" t="s">
        <v>551</v>
      </c>
      <c r="B275">
        <v>111760</v>
      </c>
      <c r="C275">
        <v>24151266</v>
      </c>
      <c r="D275" t="s">
        <v>552</v>
      </c>
      <c r="E275" t="s">
        <v>13</v>
      </c>
      <c r="F275" t="s">
        <v>27</v>
      </c>
      <c r="G275">
        <v>153</v>
      </c>
    </row>
    <row r="276" spans="1:7">
      <c r="A276" t="s">
        <v>651</v>
      </c>
      <c r="B276">
        <v>103245</v>
      </c>
      <c r="C276">
        <v>24036788</v>
      </c>
      <c r="D276" t="s">
        <v>652</v>
      </c>
      <c r="E276" t="s">
        <v>13</v>
      </c>
      <c r="F276" t="s">
        <v>14</v>
      </c>
      <c r="G276">
        <v>153.5</v>
      </c>
    </row>
    <row r="277" spans="1:7">
      <c r="A277" t="s">
        <v>297</v>
      </c>
      <c r="B277">
        <v>107537</v>
      </c>
      <c r="C277">
        <v>24086343</v>
      </c>
      <c r="D277" t="s">
        <v>298</v>
      </c>
      <c r="E277" t="s">
        <v>13</v>
      </c>
      <c r="F277" t="s">
        <v>20</v>
      </c>
      <c r="G277">
        <v>154</v>
      </c>
    </row>
    <row r="278" spans="1:7">
      <c r="A278" t="s">
        <v>591</v>
      </c>
      <c r="B278">
        <v>108043</v>
      </c>
      <c r="C278">
        <v>24091545</v>
      </c>
      <c r="D278" t="s">
        <v>592</v>
      </c>
      <c r="E278" t="s">
        <v>13</v>
      </c>
      <c r="F278" t="s">
        <v>14</v>
      </c>
      <c r="G278">
        <v>154</v>
      </c>
    </row>
    <row r="279" spans="1:7">
      <c r="A279" t="s">
        <v>689</v>
      </c>
      <c r="B279">
        <v>109930</v>
      </c>
      <c r="C279">
        <v>24122077</v>
      </c>
      <c r="D279" t="s">
        <v>690</v>
      </c>
      <c r="E279" t="s">
        <v>13</v>
      </c>
      <c r="F279" t="s">
        <v>17</v>
      </c>
      <c r="G279">
        <v>154</v>
      </c>
    </row>
    <row r="280" spans="1:7">
      <c r="A280" t="s">
        <v>701</v>
      </c>
      <c r="B280">
        <v>107651</v>
      </c>
      <c r="C280">
        <v>24086394</v>
      </c>
      <c r="D280" t="s">
        <v>702</v>
      </c>
      <c r="E280" t="s">
        <v>13</v>
      </c>
      <c r="F280" t="s">
        <v>17</v>
      </c>
      <c r="G280">
        <v>154</v>
      </c>
    </row>
    <row r="281" spans="1:7">
      <c r="A281" t="s">
        <v>73</v>
      </c>
      <c r="B281">
        <v>111738</v>
      </c>
      <c r="C281">
        <v>24151232</v>
      </c>
      <c r="D281" t="s">
        <v>74</v>
      </c>
      <c r="E281" t="s">
        <v>13</v>
      </c>
      <c r="F281" t="s">
        <v>17</v>
      </c>
      <c r="G281">
        <v>154.5</v>
      </c>
    </row>
    <row r="282" spans="1:7">
      <c r="A282" t="s">
        <v>99</v>
      </c>
      <c r="B282">
        <v>103108</v>
      </c>
      <c r="C282">
        <v>24035683</v>
      </c>
      <c r="D282" t="s">
        <v>100</v>
      </c>
      <c r="E282" t="s">
        <v>13</v>
      </c>
      <c r="F282" t="s">
        <v>20</v>
      </c>
      <c r="G282">
        <v>154.5</v>
      </c>
    </row>
    <row r="283" spans="1:7">
      <c r="A283" t="s">
        <v>191</v>
      </c>
      <c r="B283">
        <v>111049</v>
      </c>
      <c r="C283">
        <v>24142137</v>
      </c>
      <c r="D283" t="s">
        <v>192</v>
      </c>
      <c r="E283" t="s">
        <v>13</v>
      </c>
      <c r="F283" t="s">
        <v>40</v>
      </c>
      <c r="G283">
        <v>154.5</v>
      </c>
    </row>
    <row r="284" spans="1:7">
      <c r="A284" t="s">
        <v>415</v>
      </c>
      <c r="B284">
        <v>104406</v>
      </c>
      <c r="C284">
        <v>24036448</v>
      </c>
      <c r="D284" t="s">
        <v>416</v>
      </c>
      <c r="E284" t="s">
        <v>13</v>
      </c>
      <c r="F284" t="s">
        <v>27</v>
      </c>
      <c r="G284">
        <v>154.5</v>
      </c>
    </row>
    <row r="285" spans="1:7">
      <c r="A285" t="s">
        <v>421</v>
      </c>
      <c r="B285">
        <v>103981</v>
      </c>
      <c r="C285">
        <v>24037485</v>
      </c>
      <c r="D285" t="s">
        <v>422</v>
      </c>
      <c r="E285" t="s">
        <v>13</v>
      </c>
      <c r="F285" t="s">
        <v>40</v>
      </c>
      <c r="G285">
        <v>154.5</v>
      </c>
    </row>
    <row r="286" spans="1:7">
      <c r="A286" t="s">
        <v>495</v>
      </c>
      <c r="B286">
        <v>103407</v>
      </c>
      <c r="C286">
        <v>24036839</v>
      </c>
      <c r="D286" t="s">
        <v>496</v>
      </c>
      <c r="E286" t="s">
        <v>13</v>
      </c>
      <c r="F286" t="s">
        <v>14</v>
      </c>
      <c r="G286">
        <v>154.5</v>
      </c>
    </row>
    <row r="287" spans="1:7">
      <c r="A287" t="s">
        <v>561</v>
      </c>
      <c r="B287">
        <v>103208</v>
      </c>
      <c r="C287">
        <v>24011968</v>
      </c>
      <c r="D287" t="s">
        <v>562</v>
      </c>
      <c r="E287" t="s">
        <v>13</v>
      </c>
      <c r="F287" t="s">
        <v>40</v>
      </c>
      <c r="G287">
        <v>154.5</v>
      </c>
    </row>
    <row r="288" spans="1:7">
      <c r="A288" t="s">
        <v>147</v>
      </c>
      <c r="B288">
        <v>107226</v>
      </c>
      <c r="C288">
        <v>24079509</v>
      </c>
      <c r="D288" t="s">
        <v>148</v>
      </c>
      <c r="E288" t="s">
        <v>13</v>
      </c>
      <c r="F288" t="s">
        <v>27</v>
      </c>
      <c r="G288">
        <v>155</v>
      </c>
    </row>
    <row r="289" spans="1:7">
      <c r="A289" t="s">
        <v>209</v>
      </c>
      <c r="B289">
        <v>112891</v>
      </c>
      <c r="C289">
        <v>24168861</v>
      </c>
      <c r="D289" t="s">
        <v>210</v>
      </c>
      <c r="E289" t="s">
        <v>13</v>
      </c>
      <c r="F289" t="s">
        <v>17</v>
      </c>
      <c r="G289">
        <v>155</v>
      </c>
    </row>
    <row r="290" spans="1:7">
      <c r="A290" t="s">
        <v>185</v>
      </c>
      <c r="B290">
        <v>110331</v>
      </c>
      <c r="C290">
        <v>24129523</v>
      </c>
      <c r="D290" t="s">
        <v>186</v>
      </c>
      <c r="E290" t="s">
        <v>13</v>
      </c>
      <c r="F290" t="s">
        <v>27</v>
      </c>
      <c r="G290">
        <v>155.5</v>
      </c>
    </row>
    <row r="291" spans="1:7">
      <c r="A291" t="s">
        <v>265</v>
      </c>
      <c r="B291">
        <v>104102</v>
      </c>
      <c r="C291">
        <v>24011900</v>
      </c>
      <c r="D291" t="s">
        <v>266</v>
      </c>
      <c r="E291" t="s">
        <v>13</v>
      </c>
      <c r="F291" t="s">
        <v>40</v>
      </c>
      <c r="G291">
        <v>155.5</v>
      </c>
    </row>
    <row r="292" spans="1:7">
      <c r="A292" t="s">
        <v>45</v>
      </c>
      <c r="B292">
        <v>103880</v>
      </c>
      <c r="C292">
        <v>24037026</v>
      </c>
      <c r="D292" t="s">
        <v>46</v>
      </c>
      <c r="E292" t="s">
        <v>13</v>
      </c>
      <c r="F292" t="s">
        <v>17</v>
      </c>
      <c r="G292">
        <v>156</v>
      </c>
    </row>
    <row r="293" spans="1:7">
      <c r="A293" t="s">
        <v>367</v>
      </c>
      <c r="B293">
        <v>103190</v>
      </c>
      <c r="C293">
        <v>24036142</v>
      </c>
      <c r="D293" t="s">
        <v>368</v>
      </c>
      <c r="E293" t="s">
        <v>13</v>
      </c>
      <c r="F293" t="s">
        <v>27</v>
      </c>
      <c r="G293">
        <v>156</v>
      </c>
    </row>
    <row r="294" spans="1:7">
      <c r="A294" t="s">
        <v>519</v>
      </c>
      <c r="B294">
        <v>103766</v>
      </c>
      <c r="C294">
        <v>24036244</v>
      </c>
      <c r="D294" t="s">
        <v>520</v>
      </c>
      <c r="E294" t="s">
        <v>13</v>
      </c>
      <c r="F294" t="s">
        <v>27</v>
      </c>
      <c r="G294">
        <v>156</v>
      </c>
    </row>
    <row r="295" spans="1:7">
      <c r="A295" t="s">
        <v>11</v>
      </c>
      <c r="B295">
        <v>103851</v>
      </c>
      <c r="C295">
        <v>24036805</v>
      </c>
      <c r="D295" t="s">
        <v>12</v>
      </c>
      <c r="E295" t="s">
        <v>13</v>
      </c>
      <c r="F295" t="s">
        <v>14</v>
      </c>
      <c r="G295">
        <v>157</v>
      </c>
    </row>
    <row r="296" spans="1:7">
      <c r="A296" t="s">
        <v>253</v>
      </c>
      <c r="B296">
        <v>103204</v>
      </c>
      <c r="C296">
        <v>24036992</v>
      </c>
      <c r="D296" t="s">
        <v>254</v>
      </c>
      <c r="E296" t="s">
        <v>13</v>
      </c>
      <c r="F296" t="s">
        <v>40</v>
      </c>
      <c r="G296">
        <v>157</v>
      </c>
    </row>
    <row r="297" spans="1:7">
      <c r="A297" t="s">
        <v>693</v>
      </c>
      <c r="B297">
        <v>102986</v>
      </c>
      <c r="C297">
        <v>24036278</v>
      </c>
      <c r="D297" t="s">
        <v>694</v>
      </c>
      <c r="E297" t="s">
        <v>13</v>
      </c>
      <c r="F297" t="s">
        <v>17</v>
      </c>
      <c r="G297">
        <v>157</v>
      </c>
    </row>
    <row r="298" spans="1:7">
      <c r="A298" t="s">
        <v>695</v>
      </c>
      <c r="B298">
        <v>107213</v>
      </c>
      <c r="C298">
        <v>24079798</v>
      </c>
      <c r="D298" t="s">
        <v>696</v>
      </c>
      <c r="E298" t="s">
        <v>13</v>
      </c>
      <c r="F298" t="s">
        <v>17</v>
      </c>
      <c r="G298">
        <v>157</v>
      </c>
    </row>
    <row r="299" spans="1:7">
      <c r="A299" t="s">
        <v>639</v>
      </c>
      <c r="B299">
        <v>103686</v>
      </c>
      <c r="C299">
        <v>24036720</v>
      </c>
      <c r="D299" t="s">
        <v>640</v>
      </c>
      <c r="E299" t="s">
        <v>13</v>
      </c>
      <c r="F299" t="s">
        <v>40</v>
      </c>
      <c r="G299">
        <v>158</v>
      </c>
    </row>
    <row r="300" spans="1:7">
      <c r="A300" t="s">
        <v>219</v>
      </c>
      <c r="B300">
        <v>102988</v>
      </c>
      <c r="C300">
        <v>24036907</v>
      </c>
      <c r="D300" t="s">
        <v>220</v>
      </c>
      <c r="E300" t="s">
        <v>13</v>
      </c>
      <c r="F300" t="s">
        <v>14</v>
      </c>
      <c r="G300">
        <v>158.5</v>
      </c>
    </row>
    <row r="301" spans="1:7">
      <c r="A301" t="s">
        <v>97</v>
      </c>
      <c r="B301">
        <v>107954</v>
      </c>
      <c r="C301">
        <v>24092871</v>
      </c>
      <c r="D301" t="s">
        <v>98</v>
      </c>
      <c r="E301" t="s">
        <v>13</v>
      </c>
      <c r="F301" t="s">
        <v>17</v>
      </c>
      <c r="G301">
        <v>159</v>
      </c>
    </row>
    <row r="302" spans="1:7">
      <c r="A302" t="s">
        <v>101</v>
      </c>
      <c r="B302">
        <v>104265</v>
      </c>
      <c r="C302">
        <v>24036074</v>
      </c>
      <c r="D302" t="s">
        <v>102</v>
      </c>
      <c r="E302" t="s">
        <v>13</v>
      </c>
      <c r="F302" t="s">
        <v>20</v>
      </c>
      <c r="G302">
        <v>159</v>
      </c>
    </row>
    <row r="303" spans="1:7">
      <c r="A303" t="s">
        <v>609</v>
      </c>
      <c r="B303">
        <v>104347</v>
      </c>
      <c r="C303">
        <v>24035887</v>
      </c>
      <c r="D303" t="s">
        <v>610</v>
      </c>
      <c r="E303" t="s">
        <v>13</v>
      </c>
      <c r="F303" t="s">
        <v>14</v>
      </c>
      <c r="G303">
        <v>159</v>
      </c>
    </row>
    <row r="304" spans="1:7">
      <c r="A304" t="s">
        <v>617</v>
      </c>
      <c r="B304">
        <v>108746</v>
      </c>
      <c r="C304">
        <v>24103139</v>
      </c>
      <c r="D304" t="s">
        <v>618</v>
      </c>
      <c r="E304" t="s">
        <v>13</v>
      </c>
      <c r="F304" t="s">
        <v>27</v>
      </c>
      <c r="G304">
        <v>159</v>
      </c>
    </row>
    <row r="305" spans="1:7">
      <c r="A305" t="s">
        <v>397</v>
      </c>
      <c r="B305">
        <v>109865</v>
      </c>
      <c r="C305">
        <v>24122043</v>
      </c>
      <c r="D305" t="s">
        <v>398</v>
      </c>
      <c r="E305" t="s">
        <v>13</v>
      </c>
      <c r="F305" t="s">
        <v>40</v>
      </c>
      <c r="G305">
        <v>159.5</v>
      </c>
    </row>
    <row r="306" spans="1:7">
      <c r="A306" t="s">
        <v>533</v>
      </c>
      <c r="B306">
        <v>84045</v>
      </c>
      <c r="C306">
        <v>17494020</v>
      </c>
      <c r="D306" t="s">
        <v>534</v>
      </c>
      <c r="E306" t="s">
        <v>13</v>
      </c>
      <c r="F306" t="s">
        <v>14</v>
      </c>
      <c r="G306">
        <v>159.5</v>
      </c>
    </row>
    <row r="307" spans="1:7">
      <c r="A307" t="s">
        <v>715</v>
      </c>
      <c r="B307">
        <v>107374</v>
      </c>
      <c r="C307">
        <v>24082484</v>
      </c>
      <c r="D307" t="s">
        <v>716</v>
      </c>
      <c r="E307" t="s">
        <v>13</v>
      </c>
      <c r="F307" t="s">
        <v>27</v>
      </c>
      <c r="G307">
        <v>159.5</v>
      </c>
    </row>
    <row r="308" spans="1:7">
      <c r="A308" t="s">
        <v>245</v>
      </c>
      <c r="B308">
        <v>87853</v>
      </c>
      <c r="C308">
        <v>17550511</v>
      </c>
      <c r="D308" t="s">
        <v>246</v>
      </c>
      <c r="E308" t="s">
        <v>13</v>
      </c>
      <c r="F308" t="s">
        <v>20</v>
      </c>
      <c r="G308">
        <v>160.5</v>
      </c>
    </row>
    <row r="309" spans="1:7">
      <c r="A309" t="s">
        <v>453</v>
      </c>
      <c r="B309">
        <v>103465</v>
      </c>
      <c r="C309">
        <v>24011475</v>
      </c>
      <c r="D309" t="s">
        <v>454</v>
      </c>
      <c r="E309" t="s">
        <v>13</v>
      </c>
      <c r="F309" t="s">
        <v>40</v>
      </c>
      <c r="G309">
        <v>160.5</v>
      </c>
    </row>
    <row r="310" spans="1:7">
      <c r="A310" t="s">
        <v>507</v>
      </c>
      <c r="B310">
        <v>109579</v>
      </c>
      <c r="C310">
        <v>12211530</v>
      </c>
      <c r="D310" t="s">
        <v>508</v>
      </c>
      <c r="E310" t="s">
        <v>13</v>
      </c>
      <c r="F310" t="s">
        <v>14</v>
      </c>
      <c r="G310">
        <v>160.5</v>
      </c>
    </row>
    <row r="311" spans="1:7">
      <c r="A311" t="s">
        <v>359</v>
      </c>
      <c r="B311">
        <v>110936</v>
      </c>
      <c r="C311">
        <v>12704683</v>
      </c>
      <c r="D311" t="s">
        <v>360</v>
      </c>
      <c r="E311" t="s">
        <v>13</v>
      </c>
      <c r="F311" t="s">
        <v>17</v>
      </c>
      <c r="G311">
        <v>161</v>
      </c>
    </row>
    <row r="312" spans="1:7">
      <c r="A312" t="s">
        <v>127</v>
      </c>
      <c r="B312">
        <v>113500</v>
      </c>
      <c r="C312">
        <v>24176494</v>
      </c>
      <c r="D312" t="s">
        <v>128</v>
      </c>
      <c r="E312" t="s">
        <v>13</v>
      </c>
      <c r="F312" t="s">
        <v>17</v>
      </c>
      <c r="G312">
        <v>161.5</v>
      </c>
    </row>
    <row r="313" spans="1:7">
      <c r="A313" t="s">
        <v>463</v>
      </c>
      <c r="B313">
        <v>109959</v>
      </c>
      <c r="C313">
        <v>24122842</v>
      </c>
      <c r="D313" t="s">
        <v>464</v>
      </c>
      <c r="E313" t="s">
        <v>13</v>
      </c>
      <c r="F313" t="s">
        <v>20</v>
      </c>
      <c r="G313">
        <v>162</v>
      </c>
    </row>
    <row r="314" spans="1:7">
      <c r="A314" t="s">
        <v>549</v>
      </c>
      <c r="B314">
        <v>104093</v>
      </c>
      <c r="C314">
        <v>24035802</v>
      </c>
      <c r="D314" t="s">
        <v>550</v>
      </c>
      <c r="E314" t="s">
        <v>13</v>
      </c>
      <c r="F314" t="s">
        <v>27</v>
      </c>
      <c r="G314">
        <v>162</v>
      </c>
    </row>
    <row r="315" spans="1:7">
      <c r="A315" t="s">
        <v>311</v>
      </c>
      <c r="B315">
        <v>108268</v>
      </c>
      <c r="C315">
        <v>24096951</v>
      </c>
      <c r="D315" t="s">
        <v>312</v>
      </c>
      <c r="E315" t="s">
        <v>13</v>
      </c>
      <c r="F315" t="s">
        <v>20</v>
      </c>
      <c r="G315">
        <v>162.5</v>
      </c>
    </row>
    <row r="316" spans="1:7">
      <c r="A316" t="s">
        <v>34</v>
      </c>
      <c r="B316">
        <v>111075</v>
      </c>
      <c r="C316">
        <v>24142205</v>
      </c>
      <c r="D316" t="s">
        <v>35</v>
      </c>
      <c r="E316" t="s">
        <v>13</v>
      </c>
      <c r="F316" t="s">
        <v>27</v>
      </c>
      <c r="G316">
        <v>163</v>
      </c>
    </row>
    <row r="317" spans="1:7">
      <c r="A317" t="s">
        <v>393</v>
      </c>
      <c r="B317">
        <v>107528</v>
      </c>
      <c r="C317">
        <v>24084388</v>
      </c>
      <c r="D317" t="s">
        <v>394</v>
      </c>
      <c r="E317" t="s">
        <v>13</v>
      </c>
      <c r="F317" t="s">
        <v>20</v>
      </c>
      <c r="G317">
        <v>164</v>
      </c>
    </row>
    <row r="318" spans="1:7">
      <c r="A318" t="s">
        <v>395</v>
      </c>
      <c r="B318">
        <v>109616</v>
      </c>
      <c r="C318">
        <v>24119799</v>
      </c>
      <c r="D318" t="s">
        <v>396</v>
      </c>
      <c r="E318" t="s">
        <v>13</v>
      </c>
      <c r="F318" t="s">
        <v>17</v>
      </c>
      <c r="G318">
        <v>164.5</v>
      </c>
    </row>
    <row r="319" spans="1:7">
      <c r="A319" t="s">
        <v>541</v>
      </c>
      <c r="B319">
        <v>109702</v>
      </c>
      <c r="C319">
        <v>24119595</v>
      </c>
      <c r="D319" t="s">
        <v>542</v>
      </c>
      <c r="E319" t="s">
        <v>13</v>
      </c>
      <c r="F319" t="s">
        <v>40</v>
      </c>
      <c r="G319">
        <v>165</v>
      </c>
    </row>
    <row r="320" spans="1:7">
      <c r="A320" t="s">
        <v>573</v>
      </c>
      <c r="B320">
        <v>109647</v>
      </c>
      <c r="C320">
        <v>24119918</v>
      </c>
      <c r="D320" t="s">
        <v>574</v>
      </c>
      <c r="E320" t="s">
        <v>13</v>
      </c>
      <c r="F320" t="s">
        <v>27</v>
      </c>
      <c r="G320">
        <v>165</v>
      </c>
    </row>
    <row r="321" spans="1:7">
      <c r="A321" t="s">
        <v>557</v>
      </c>
      <c r="B321">
        <v>109967</v>
      </c>
      <c r="C321">
        <v>24122570</v>
      </c>
      <c r="D321" t="s">
        <v>558</v>
      </c>
      <c r="E321" t="s">
        <v>13</v>
      </c>
      <c r="F321" t="s">
        <v>27</v>
      </c>
      <c r="G321">
        <v>165.5</v>
      </c>
    </row>
    <row r="322" spans="1:7">
      <c r="A322" t="s">
        <v>279</v>
      </c>
      <c r="B322">
        <v>112206</v>
      </c>
      <c r="C322">
        <v>24158423</v>
      </c>
      <c r="D322" t="s">
        <v>280</v>
      </c>
      <c r="E322" t="s">
        <v>13</v>
      </c>
      <c r="F322" t="s">
        <v>17</v>
      </c>
      <c r="G322">
        <v>166.5</v>
      </c>
    </row>
    <row r="323" spans="1:7">
      <c r="A323" t="s">
        <v>223</v>
      </c>
      <c r="B323">
        <v>107944</v>
      </c>
      <c r="C323">
        <v>24092055</v>
      </c>
      <c r="D323" t="s">
        <v>224</v>
      </c>
      <c r="E323" t="s">
        <v>13</v>
      </c>
      <c r="F323" t="s">
        <v>20</v>
      </c>
      <c r="G323">
        <v>167</v>
      </c>
    </row>
    <row r="324" spans="1:7">
      <c r="A324" t="s">
        <v>659</v>
      </c>
      <c r="B324">
        <v>103075</v>
      </c>
      <c r="C324">
        <v>24037672</v>
      </c>
      <c r="D324" t="s">
        <v>660</v>
      </c>
      <c r="E324" t="s">
        <v>13</v>
      </c>
      <c r="F324" t="s">
        <v>27</v>
      </c>
      <c r="G324">
        <v>167</v>
      </c>
    </row>
    <row r="325" spans="1:7">
      <c r="A325" t="s">
        <v>371</v>
      </c>
      <c r="B325">
        <v>108462</v>
      </c>
      <c r="C325">
        <v>24099382</v>
      </c>
      <c r="D325" t="s">
        <v>372</v>
      </c>
      <c r="E325" t="s">
        <v>13</v>
      </c>
      <c r="F325" t="s">
        <v>17</v>
      </c>
      <c r="G325">
        <v>169</v>
      </c>
    </row>
    <row r="326" spans="1:7">
      <c r="A326" t="s">
        <v>719</v>
      </c>
      <c r="B326">
        <v>104366</v>
      </c>
      <c r="C326">
        <v>24037655</v>
      </c>
      <c r="D326" t="s">
        <v>720</v>
      </c>
      <c r="E326" t="s">
        <v>13</v>
      </c>
      <c r="F326" t="s">
        <v>27</v>
      </c>
      <c r="G326">
        <v>169</v>
      </c>
    </row>
    <row r="327" spans="1:7">
      <c r="A327" t="s">
        <v>599</v>
      </c>
      <c r="B327">
        <v>107958</v>
      </c>
      <c r="C327">
        <v>24092803</v>
      </c>
      <c r="D327" t="s">
        <v>600</v>
      </c>
      <c r="E327" t="s">
        <v>13</v>
      </c>
      <c r="F327" t="s">
        <v>40</v>
      </c>
      <c r="G327">
        <v>169.5</v>
      </c>
    </row>
    <row r="328" spans="1:7">
      <c r="A328" t="s">
        <v>365</v>
      </c>
      <c r="B328">
        <v>104121</v>
      </c>
      <c r="C328">
        <v>24036703</v>
      </c>
      <c r="D328" t="s">
        <v>366</v>
      </c>
      <c r="E328" t="s">
        <v>13</v>
      </c>
      <c r="F328" t="s">
        <v>20</v>
      </c>
      <c r="G328">
        <v>170</v>
      </c>
    </row>
    <row r="329" spans="1:7">
      <c r="A329" t="s">
        <v>53</v>
      </c>
      <c r="B329">
        <v>107175</v>
      </c>
      <c r="C329">
        <v>24079577</v>
      </c>
      <c r="D329" t="s">
        <v>54</v>
      </c>
      <c r="E329" t="s">
        <v>13</v>
      </c>
      <c r="F329" t="s">
        <v>14</v>
      </c>
      <c r="G329">
        <v>170.5</v>
      </c>
    </row>
    <row r="330" spans="1:7">
      <c r="A330" t="s">
        <v>271</v>
      </c>
      <c r="B330">
        <v>24357</v>
      </c>
      <c r="C330">
        <v>17136119</v>
      </c>
      <c r="D330" t="s">
        <v>272</v>
      </c>
      <c r="E330" t="s">
        <v>13</v>
      </c>
      <c r="F330" t="s">
        <v>14</v>
      </c>
      <c r="G330">
        <v>171</v>
      </c>
    </row>
    <row r="331" spans="1:7">
      <c r="A331" t="s">
        <v>355</v>
      </c>
      <c r="B331">
        <v>103915</v>
      </c>
      <c r="C331">
        <v>24035632</v>
      </c>
      <c r="D331" t="s">
        <v>356</v>
      </c>
      <c r="E331" t="s">
        <v>13</v>
      </c>
      <c r="F331" t="s">
        <v>17</v>
      </c>
      <c r="G331">
        <v>171</v>
      </c>
    </row>
    <row r="332" spans="1:7">
      <c r="A332" t="s">
        <v>603</v>
      </c>
      <c r="B332">
        <v>109752</v>
      </c>
      <c r="C332">
        <v>24119816</v>
      </c>
      <c r="D332" t="s">
        <v>604</v>
      </c>
      <c r="E332" t="s">
        <v>13</v>
      </c>
      <c r="F332" t="s">
        <v>27</v>
      </c>
      <c r="G332">
        <v>171</v>
      </c>
    </row>
    <row r="333" spans="1:7">
      <c r="A333" t="s">
        <v>669</v>
      </c>
      <c r="B333">
        <v>13022</v>
      </c>
      <c r="C333">
        <v>17137904</v>
      </c>
      <c r="D333" t="s">
        <v>670</v>
      </c>
      <c r="E333" t="s">
        <v>13</v>
      </c>
      <c r="F333" t="s">
        <v>14</v>
      </c>
      <c r="G333">
        <v>174.5</v>
      </c>
    </row>
    <row r="334" spans="1:7">
      <c r="A334" t="s">
        <v>729</v>
      </c>
      <c r="B334">
        <v>109124</v>
      </c>
      <c r="C334">
        <v>24111010</v>
      </c>
      <c r="D334" t="s">
        <v>730</v>
      </c>
      <c r="E334" t="s">
        <v>13</v>
      </c>
      <c r="F334" t="s">
        <v>20</v>
      </c>
      <c r="G334">
        <v>176.5</v>
      </c>
    </row>
  </sheetData>
  <sortState ref="A4:J362">
    <sortCondition ref="G4:G3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"/>
  <sheetViews>
    <sheetView topLeftCell="R25" workbookViewId="0">
      <selection activeCell="V29" sqref="V29"/>
    </sheetView>
  </sheetViews>
  <sheetFormatPr defaultRowHeight="14.4"/>
  <cols>
    <col min="9" max="9" width="11.5546875" bestFit="1" customWidth="1"/>
  </cols>
  <sheetData>
    <row r="1" spans="1:22" ht="15" thickBot="1">
      <c r="A1" s="1"/>
      <c r="B1" s="1"/>
      <c r="C1" s="1"/>
      <c r="D1" s="1"/>
      <c r="E1" s="1"/>
      <c r="F1" s="1"/>
      <c r="G1" s="1"/>
      <c r="H1" s="1"/>
      <c r="I1" s="39" t="s">
        <v>736</v>
      </c>
      <c r="J1" s="40"/>
      <c r="K1" s="40"/>
      <c r="L1" s="40"/>
      <c r="M1" s="40"/>
      <c r="N1" s="41"/>
      <c r="O1" s="39" t="s">
        <v>737</v>
      </c>
      <c r="P1" s="40"/>
      <c r="Q1" s="40"/>
      <c r="R1" s="40"/>
      <c r="S1" s="40"/>
      <c r="T1" s="40"/>
      <c r="U1" s="42"/>
      <c r="V1" s="2" t="s">
        <v>738</v>
      </c>
    </row>
    <row r="2" spans="1:22" ht="43.8" thickBot="1">
      <c r="A2" s="3"/>
      <c r="B2" s="3" t="s">
        <v>15</v>
      </c>
      <c r="C2" s="4">
        <v>87811</v>
      </c>
      <c r="D2" s="4">
        <v>17547995</v>
      </c>
      <c r="E2" s="5" t="s">
        <v>16</v>
      </c>
      <c r="F2" s="6" t="s">
        <v>13</v>
      </c>
      <c r="G2" s="5" t="s">
        <v>17</v>
      </c>
      <c r="H2" s="7">
        <v>1</v>
      </c>
      <c r="I2" s="3"/>
      <c r="J2" s="3"/>
      <c r="K2" s="3"/>
      <c r="L2" s="3"/>
      <c r="M2" s="3"/>
      <c r="N2" s="8"/>
      <c r="O2" s="3"/>
      <c r="P2" s="3"/>
      <c r="Q2" s="3"/>
      <c r="R2" s="3"/>
      <c r="S2" s="3"/>
      <c r="T2" s="3"/>
      <c r="U2" s="8"/>
      <c r="V2" s="7">
        <v>0</v>
      </c>
    </row>
    <row r="3" spans="1:22" ht="43.8" thickBot="1">
      <c r="A3" s="3"/>
      <c r="B3" s="3" t="s">
        <v>77</v>
      </c>
      <c r="C3" s="4">
        <v>91806</v>
      </c>
      <c r="D3" s="4">
        <v>17595782</v>
      </c>
      <c r="E3" s="5" t="s">
        <v>78</v>
      </c>
      <c r="F3" s="6" t="s">
        <v>13</v>
      </c>
      <c r="G3" s="5" t="s">
        <v>17</v>
      </c>
      <c r="H3" s="7">
        <v>1</v>
      </c>
      <c r="I3" s="3"/>
      <c r="J3" s="3"/>
      <c r="K3" s="3"/>
      <c r="L3" s="3"/>
      <c r="M3" s="3"/>
      <c r="N3" s="8"/>
      <c r="O3" s="3"/>
      <c r="P3" s="3"/>
      <c r="Q3" s="3"/>
      <c r="R3" s="3"/>
      <c r="S3" s="3"/>
      <c r="T3" s="3"/>
      <c r="U3" s="8"/>
      <c r="V3" s="7">
        <v>0</v>
      </c>
    </row>
    <row r="4" spans="1:22" ht="43.8" thickBot="1">
      <c r="A4" s="3"/>
      <c r="B4" s="3" t="s">
        <v>133</v>
      </c>
      <c r="C4" s="4">
        <v>82127</v>
      </c>
      <c r="D4" s="4">
        <v>17469744</v>
      </c>
      <c r="E4" s="5" t="s">
        <v>134</v>
      </c>
      <c r="F4" s="6" t="s">
        <v>13</v>
      </c>
      <c r="G4" s="5" t="s">
        <v>17</v>
      </c>
      <c r="H4" s="7">
        <v>1</v>
      </c>
      <c r="I4" s="3"/>
      <c r="J4" s="3"/>
      <c r="K4" s="3"/>
      <c r="L4" s="3"/>
      <c r="M4" s="3"/>
      <c r="N4" s="8"/>
      <c r="O4" s="3"/>
      <c r="P4" s="3"/>
      <c r="Q4" s="3"/>
      <c r="R4" s="3"/>
      <c r="S4" s="3"/>
      <c r="T4" s="3"/>
      <c r="U4" s="8"/>
      <c r="V4" s="7">
        <v>0</v>
      </c>
    </row>
    <row r="5" spans="1:22" ht="43.8" thickBot="1">
      <c r="A5" s="3"/>
      <c r="B5" s="3" t="s">
        <v>161</v>
      </c>
      <c r="C5" s="4">
        <v>17638</v>
      </c>
      <c r="D5" s="4">
        <v>15880589</v>
      </c>
      <c r="E5" s="5" t="s">
        <v>162</v>
      </c>
      <c r="F5" s="6" t="s">
        <v>13</v>
      </c>
      <c r="G5" s="5" t="s">
        <v>17</v>
      </c>
      <c r="H5" s="7">
        <v>1</v>
      </c>
      <c r="I5" s="3"/>
      <c r="J5" s="3"/>
      <c r="K5" s="3"/>
      <c r="L5" s="3"/>
      <c r="M5" s="3"/>
      <c r="N5" s="8"/>
      <c r="O5" s="3"/>
      <c r="P5" s="3"/>
      <c r="Q5" s="3"/>
      <c r="R5" s="3"/>
      <c r="S5" s="3"/>
      <c r="T5" s="3"/>
      <c r="U5" s="8"/>
      <c r="V5" s="7">
        <v>0</v>
      </c>
    </row>
    <row r="6" spans="1:22" ht="43.8" thickBot="1">
      <c r="A6" s="3"/>
      <c r="B6" s="3" t="s">
        <v>179</v>
      </c>
      <c r="C6" s="4">
        <v>82016</v>
      </c>
      <c r="D6" s="4">
        <v>17469812</v>
      </c>
      <c r="E6" s="5" t="s">
        <v>180</v>
      </c>
      <c r="F6" s="6" t="s">
        <v>13</v>
      </c>
      <c r="G6" s="5" t="s">
        <v>17</v>
      </c>
      <c r="H6" s="7">
        <v>1</v>
      </c>
      <c r="I6" s="3"/>
      <c r="J6" s="3"/>
      <c r="K6" s="3"/>
      <c r="L6" s="3"/>
      <c r="M6" s="3"/>
      <c r="N6" s="8"/>
      <c r="O6" s="3"/>
      <c r="P6" s="3"/>
      <c r="Q6" s="3"/>
      <c r="R6" s="3"/>
      <c r="S6" s="3"/>
      <c r="T6" s="3"/>
      <c r="U6" s="8"/>
      <c r="V6" s="7">
        <v>0</v>
      </c>
    </row>
    <row r="7" spans="1:22" ht="43.8" thickBot="1">
      <c r="A7" s="9"/>
      <c r="B7" s="9" t="s">
        <v>187</v>
      </c>
      <c r="C7" s="10">
        <v>111140</v>
      </c>
      <c r="D7" s="10">
        <v>24143684</v>
      </c>
      <c r="E7" s="9" t="s">
        <v>188</v>
      </c>
      <c r="F7" s="11" t="s">
        <v>13</v>
      </c>
      <c r="G7" s="9" t="s">
        <v>17</v>
      </c>
      <c r="H7" s="9"/>
      <c r="I7" s="9"/>
      <c r="J7" s="9"/>
      <c r="K7" s="9"/>
      <c r="L7" s="9"/>
      <c r="M7" s="9"/>
      <c r="N7" s="12"/>
      <c r="O7" s="9"/>
      <c r="P7" s="9"/>
      <c r="Q7" s="9"/>
      <c r="R7" s="9"/>
      <c r="S7" s="9"/>
      <c r="T7" s="9"/>
      <c r="U7" s="12"/>
      <c r="V7" s="13">
        <v>110</v>
      </c>
    </row>
    <row r="8" spans="1:22" ht="43.8" thickBot="1">
      <c r="A8" s="3"/>
      <c r="B8" s="3" t="s">
        <v>237</v>
      </c>
      <c r="C8" s="4">
        <v>91751</v>
      </c>
      <c r="D8" s="4">
        <v>17594269</v>
      </c>
      <c r="E8" s="5" t="s">
        <v>238</v>
      </c>
      <c r="F8" s="6" t="s">
        <v>13</v>
      </c>
      <c r="G8" s="5" t="s">
        <v>17</v>
      </c>
      <c r="H8" s="7">
        <v>1</v>
      </c>
      <c r="I8" s="3"/>
      <c r="J8" s="3"/>
      <c r="K8" s="3"/>
      <c r="L8" s="3"/>
      <c r="M8" s="3"/>
      <c r="N8" s="8"/>
      <c r="O8" s="3"/>
      <c r="P8" s="3"/>
      <c r="Q8" s="3"/>
      <c r="R8" s="3"/>
      <c r="S8" s="3"/>
      <c r="T8" s="3"/>
      <c r="U8" s="8"/>
      <c r="V8" s="7">
        <v>0</v>
      </c>
    </row>
    <row r="9" spans="1:22" ht="43.8" thickBot="1">
      <c r="A9" s="3"/>
      <c r="B9" s="3" t="s">
        <v>247</v>
      </c>
      <c r="C9" s="4">
        <v>62265</v>
      </c>
      <c r="D9" s="4">
        <v>14312645</v>
      </c>
      <c r="E9" s="5" t="s">
        <v>248</v>
      </c>
      <c r="F9" s="6" t="s">
        <v>13</v>
      </c>
      <c r="G9" s="5" t="s">
        <v>17</v>
      </c>
      <c r="H9" s="7">
        <v>1</v>
      </c>
      <c r="I9" s="3"/>
      <c r="J9" s="3"/>
      <c r="K9" s="3"/>
      <c r="L9" s="3"/>
      <c r="M9" s="3"/>
      <c r="N9" s="8"/>
      <c r="O9" s="3"/>
      <c r="P9" s="3"/>
      <c r="Q9" s="3"/>
      <c r="R9" s="3"/>
      <c r="S9" s="3"/>
      <c r="T9" s="3"/>
      <c r="U9" s="8"/>
      <c r="V9" s="7">
        <v>0</v>
      </c>
    </row>
    <row r="10" spans="1:22" ht="43.8" thickBot="1">
      <c r="A10" s="3"/>
      <c r="B10" s="3" t="s">
        <v>259</v>
      </c>
      <c r="C10" s="4">
        <v>81908</v>
      </c>
      <c r="D10" s="4">
        <v>17460734</v>
      </c>
      <c r="E10" s="5" t="s">
        <v>260</v>
      </c>
      <c r="F10" s="6" t="s">
        <v>13</v>
      </c>
      <c r="G10" s="5" t="s">
        <v>17</v>
      </c>
      <c r="H10" s="7">
        <v>1</v>
      </c>
      <c r="I10" s="3"/>
      <c r="J10" s="3"/>
      <c r="K10" s="3"/>
      <c r="L10" s="3"/>
      <c r="M10" s="3"/>
      <c r="N10" s="8"/>
      <c r="O10" s="3"/>
      <c r="P10" s="3"/>
      <c r="Q10" s="3"/>
      <c r="R10" s="3"/>
      <c r="S10" s="3"/>
      <c r="T10" s="3"/>
      <c r="U10" s="8"/>
      <c r="V10" s="7">
        <v>0</v>
      </c>
    </row>
    <row r="11" spans="1:22" ht="43.8" thickBot="1">
      <c r="A11" s="3"/>
      <c r="B11" s="3" t="s">
        <v>269</v>
      </c>
      <c r="C11" s="4">
        <v>87806</v>
      </c>
      <c r="D11" s="4">
        <v>17547723</v>
      </c>
      <c r="E11" s="5" t="s">
        <v>270</v>
      </c>
      <c r="F11" s="6" t="s">
        <v>13</v>
      </c>
      <c r="G11" s="5" t="s">
        <v>17</v>
      </c>
      <c r="H11" s="7">
        <v>1</v>
      </c>
      <c r="I11" s="3"/>
      <c r="J11" s="3"/>
      <c r="K11" s="3"/>
      <c r="L11" s="3"/>
      <c r="M11" s="3"/>
      <c r="N11" s="8"/>
      <c r="O11" s="3"/>
      <c r="P11" s="3"/>
      <c r="Q11" s="3"/>
      <c r="R11" s="3"/>
      <c r="S11" s="3"/>
      <c r="T11" s="3"/>
      <c r="U11" s="8"/>
      <c r="V11" s="7">
        <v>0</v>
      </c>
    </row>
    <row r="12" spans="1:22" ht="43.8" thickBot="1">
      <c r="A12" s="3"/>
      <c r="B12" s="3" t="s">
        <v>435</v>
      </c>
      <c r="C12" s="4">
        <v>58753</v>
      </c>
      <c r="D12" s="4">
        <v>17221102</v>
      </c>
      <c r="E12" s="5" t="s">
        <v>436</v>
      </c>
      <c r="F12" s="6" t="s">
        <v>13</v>
      </c>
      <c r="G12" s="5" t="s">
        <v>17</v>
      </c>
      <c r="H12" s="7">
        <v>1</v>
      </c>
      <c r="I12" s="3"/>
      <c r="J12" s="3"/>
      <c r="K12" s="3"/>
      <c r="L12" s="3"/>
      <c r="M12" s="3"/>
      <c r="N12" s="8"/>
      <c r="O12" s="3"/>
      <c r="P12" s="3"/>
      <c r="Q12" s="3"/>
      <c r="R12" s="3"/>
      <c r="S12" s="3"/>
      <c r="T12" s="3"/>
      <c r="U12" s="8"/>
      <c r="V12" s="7">
        <v>0</v>
      </c>
    </row>
    <row r="13" spans="1:22" ht="43.8" thickBot="1">
      <c r="A13" s="3"/>
      <c r="B13" s="3" t="s">
        <v>459</v>
      </c>
      <c r="C13" s="4">
        <v>82200</v>
      </c>
      <c r="D13" s="4">
        <v>17460547</v>
      </c>
      <c r="E13" s="5" t="s">
        <v>460</v>
      </c>
      <c r="F13" s="6" t="s">
        <v>13</v>
      </c>
      <c r="G13" s="5" t="s">
        <v>17</v>
      </c>
      <c r="H13" s="7">
        <v>1</v>
      </c>
      <c r="I13" s="3"/>
      <c r="J13" s="3"/>
      <c r="K13" s="3"/>
      <c r="L13" s="3"/>
      <c r="M13" s="3"/>
      <c r="N13" s="8"/>
      <c r="O13" s="3"/>
      <c r="P13" s="3"/>
      <c r="Q13" s="3"/>
      <c r="R13" s="3"/>
      <c r="S13" s="3"/>
      <c r="T13" s="3"/>
      <c r="U13" s="8"/>
      <c r="V13" s="7">
        <v>0</v>
      </c>
    </row>
    <row r="14" spans="1:22" ht="54" thickBot="1">
      <c r="A14" s="3"/>
      <c r="B14" s="3" t="s">
        <v>467</v>
      </c>
      <c r="C14" s="4">
        <v>35712</v>
      </c>
      <c r="D14" s="4">
        <v>13415895</v>
      </c>
      <c r="E14" s="5" t="s">
        <v>468</v>
      </c>
      <c r="F14" s="6" t="s">
        <v>13</v>
      </c>
      <c r="G14" s="5" t="s">
        <v>17</v>
      </c>
      <c r="H14" s="7">
        <v>1</v>
      </c>
      <c r="I14" s="3"/>
      <c r="J14" s="3"/>
      <c r="K14" s="3"/>
      <c r="L14" s="3"/>
      <c r="M14" s="3"/>
      <c r="N14" s="8"/>
      <c r="O14" s="3"/>
      <c r="P14" s="3"/>
      <c r="Q14" s="3"/>
      <c r="R14" s="3"/>
      <c r="S14" s="3"/>
      <c r="T14" s="3"/>
      <c r="U14" s="8"/>
      <c r="V14" s="7">
        <v>0</v>
      </c>
    </row>
    <row r="15" spans="1:22" ht="43.8" thickBot="1">
      <c r="A15" s="3"/>
      <c r="B15" s="3" t="s">
        <v>479</v>
      </c>
      <c r="C15" s="4">
        <v>82161</v>
      </c>
      <c r="D15" s="4">
        <v>17469013</v>
      </c>
      <c r="E15" s="5" t="s">
        <v>480</v>
      </c>
      <c r="F15" s="6" t="s">
        <v>13</v>
      </c>
      <c r="G15" s="5" t="s">
        <v>17</v>
      </c>
      <c r="H15" s="7">
        <v>1</v>
      </c>
      <c r="I15" s="3"/>
      <c r="J15" s="3"/>
      <c r="K15" s="3"/>
      <c r="L15" s="3"/>
      <c r="M15" s="3"/>
      <c r="N15" s="8"/>
      <c r="O15" s="3"/>
      <c r="P15" s="3"/>
      <c r="Q15" s="3"/>
      <c r="R15" s="3"/>
      <c r="S15" s="3"/>
      <c r="T15" s="3"/>
      <c r="U15" s="8"/>
      <c r="V15" s="7">
        <v>0</v>
      </c>
    </row>
    <row r="16" spans="1:22" ht="43.8" thickBot="1">
      <c r="A16" s="3"/>
      <c r="B16" s="3" t="s">
        <v>529</v>
      </c>
      <c r="C16" s="4">
        <v>84506</v>
      </c>
      <c r="D16" s="4">
        <v>17501857</v>
      </c>
      <c r="E16" s="5" t="s">
        <v>530</v>
      </c>
      <c r="F16" s="6" t="s">
        <v>13</v>
      </c>
      <c r="G16" s="5" t="s">
        <v>17</v>
      </c>
      <c r="H16" s="7">
        <v>1</v>
      </c>
      <c r="I16" s="3"/>
      <c r="J16" s="3"/>
      <c r="K16" s="3"/>
      <c r="L16" s="3"/>
      <c r="M16" s="3"/>
      <c r="N16" s="8"/>
      <c r="O16" s="3"/>
      <c r="P16" s="3"/>
      <c r="Q16" s="3"/>
      <c r="R16" s="3"/>
      <c r="S16" s="3"/>
      <c r="T16" s="3"/>
      <c r="U16" s="8"/>
      <c r="V16" s="7">
        <v>0</v>
      </c>
    </row>
    <row r="17" spans="1:22" ht="43.8" thickBot="1">
      <c r="A17" s="3"/>
      <c r="B17" s="3" t="s">
        <v>531</v>
      </c>
      <c r="C17" s="4">
        <v>84930</v>
      </c>
      <c r="D17" s="4">
        <v>17508062</v>
      </c>
      <c r="E17" s="5" t="s">
        <v>532</v>
      </c>
      <c r="F17" s="6" t="s">
        <v>13</v>
      </c>
      <c r="G17" s="5" t="s">
        <v>17</v>
      </c>
      <c r="H17" s="7">
        <v>1</v>
      </c>
      <c r="I17" s="3"/>
      <c r="J17" s="3"/>
      <c r="K17" s="3"/>
      <c r="L17" s="3"/>
      <c r="M17" s="3"/>
      <c r="N17" s="8"/>
      <c r="O17" s="3"/>
      <c r="P17" s="3"/>
      <c r="Q17" s="3"/>
      <c r="R17" s="3"/>
      <c r="S17" s="3"/>
      <c r="T17" s="3"/>
      <c r="U17" s="8"/>
      <c r="V17" s="7">
        <v>0</v>
      </c>
    </row>
    <row r="18" spans="1:22" ht="43.8" thickBot="1">
      <c r="A18" s="3"/>
      <c r="B18" s="3" t="s">
        <v>547</v>
      </c>
      <c r="C18" s="4">
        <v>82381</v>
      </c>
      <c r="D18" s="4">
        <v>17470254</v>
      </c>
      <c r="E18" s="5" t="s">
        <v>548</v>
      </c>
      <c r="F18" s="6" t="s">
        <v>13</v>
      </c>
      <c r="G18" s="5" t="s">
        <v>17</v>
      </c>
      <c r="H18" s="7">
        <v>1</v>
      </c>
      <c r="I18" s="3"/>
      <c r="J18" s="3"/>
      <c r="K18" s="3"/>
      <c r="L18" s="3"/>
      <c r="M18" s="3"/>
      <c r="N18" s="8"/>
      <c r="O18" s="3"/>
      <c r="P18" s="3"/>
      <c r="Q18" s="3"/>
      <c r="R18" s="3"/>
      <c r="S18" s="3"/>
      <c r="T18" s="3"/>
      <c r="U18" s="8"/>
      <c r="V18" s="7">
        <v>0</v>
      </c>
    </row>
    <row r="19" spans="1:22" ht="43.8" thickBot="1">
      <c r="A19" s="3"/>
      <c r="B19" s="3" t="s">
        <v>571</v>
      </c>
      <c r="C19" s="4">
        <v>90604</v>
      </c>
      <c r="D19" s="4">
        <v>17585956</v>
      </c>
      <c r="E19" s="5" t="s">
        <v>572</v>
      </c>
      <c r="F19" s="6" t="s">
        <v>13</v>
      </c>
      <c r="G19" s="5" t="s">
        <v>17</v>
      </c>
      <c r="H19" s="7">
        <v>1</v>
      </c>
      <c r="I19" s="3"/>
      <c r="J19" s="3"/>
      <c r="K19" s="3"/>
      <c r="L19" s="3"/>
      <c r="M19" s="3"/>
      <c r="N19" s="8"/>
      <c r="O19" s="3"/>
      <c r="P19" s="3"/>
      <c r="Q19" s="3"/>
      <c r="R19" s="3"/>
      <c r="S19" s="3"/>
      <c r="T19" s="3"/>
      <c r="U19" s="8"/>
      <c r="V19" s="7">
        <v>0</v>
      </c>
    </row>
    <row r="20" spans="1:22" ht="43.8" thickBot="1">
      <c r="A20" s="3"/>
      <c r="B20" s="3" t="s">
        <v>577</v>
      </c>
      <c r="C20" s="4">
        <v>81734</v>
      </c>
      <c r="D20" s="4">
        <v>17469302</v>
      </c>
      <c r="E20" s="5" t="s">
        <v>578</v>
      </c>
      <c r="F20" s="6" t="s">
        <v>13</v>
      </c>
      <c r="G20" s="5" t="s">
        <v>17</v>
      </c>
      <c r="H20" s="7">
        <v>1</v>
      </c>
      <c r="I20" s="3"/>
      <c r="J20" s="3"/>
      <c r="K20" s="3"/>
      <c r="L20" s="3"/>
      <c r="M20" s="3"/>
      <c r="N20" s="8"/>
      <c r="O20" s="3"/>
      <c r="P20" s="3"/>
      <c r="Q20" s="3"/>
      <c r="R20" s="3"/>
      <c r="S20" s="3"/>
      <c r="T20" s="3"/>
      <c r="U20" s="8"/>
      <c r="V20" s="7">
        <v>0</v>
      </c>
    </row>
    <row r="21" spans="1:22" ht="43.8" thickBot="1">
      <c r="A21" s="3"/>
      <c r="B21" s="3" t="s">
        <v>583</v>
      </c>
      <c r="C21" s="4">
        <v>93438</v>
      </c>
      <c r="D21" s="4">
        <v>17609841</v>
      </c>
      <c r="E21" s="5" t="s">
        <v>584</v>
      </c>
      <c r="F21" s="6" t="s">
        <v>13</v>
      </c>
      <c r="G21" s="5" t="s">
        <v>17</v>
      </c>
      <c r="H21" s="7">
        <v>1</v>
      </c>
      <c r="I21" s="3"/>
      <c r="J21" s="3"/>
      <c r="K21" s="3"/>
      <c r="L21" s="3"/>
      <c r="M21" s="3"/>
      <c r="N21" s="8"/>
      <c r="O21" s="3"/>
      <c r="P21" s="3"/>
      <c r="Q21" s="3"/>
      <c r="R21" s="3"/>
      <c r="S21" s="3"/>
      <c r="T21" s="3"/>
      <c r="U21" s="8"/>
      <c r="V21" s="7">
        <v>0</v>
      </c>
    </row>
    <row r="22" spans="1:22" ht="43.8" thickBot="1">
      <c r="A22" s="3"/>
      <c r="B22" s="3" t="s">
        <v>585</v>
      </c>
      <c r="C22" s="4">
        <v>87832</v>
      </c>
      <c r="D22" s="4">
        <v>17547944</v>
      </c>
      <c r="E22" s="5" t="s">
        <v>586</v>
      </c>
      <c r="F22" s="6" t="s">
        <v>13</v>
      </c>
      <c r="G22" s="5" t="s">
        <v>17</v>
      </c>
      <c r="H22" s="7">
        <v>1</v>
      </c>
      <c r="I22" s="3"/>
      <c r="J22" s="3"/>
      <c r="K22" s="3"/>
      <c r="L22" s="3"/>
      <c r="M22" s="3"/>
      <c r="N22" s="8"/>
      <c r="O22" s="3"/>
      <c r="P22" s="3"/>
      <c r="Q22" s="3"/>
      <c r="R22" s="3"/>
      <c r="S22" s="3"/>
      <c r="T22" s="3"/>
      <c r="U22" s="8"/>
      <c r="V22" s="7">
        <v>0</v>
      </c>
    </row>
    <row r="23" spans="1:22" ht="43.8" thickBot="1">
      <c r="A23" s="3"/>
      <c r="B23" s="3" t="s">
        <v>613</v>
      </c>
      <c r="C23" s="4">
        <v>93452</v>
      </c>
      <c r="D23" s="4">
        <v>17609926</v>
      </c>
      <c r="E23" s="5" t="s">
        <v>614</v>
      </c>
      <c r="F23" s="6" t="s">
        <v>13</v>
      </c>
      <c r="G23" s="5" t="s">
        <v>17</v>
      </c>
      <c r="H23" s="7">
        <v>1</v>
      </c>
      <c r="I23" s="3"/>
      <c r="J23" s="3"/>
      <c r="K23" s="3"/>
      <c r="L23" s="3"/>
      <c r="M23" s="3"/>
      <c r="N23" s="8"/>
      <c r="O23" s="3"/>
      <c r="P23" s="3"/>
      <c r="Q23" s="3"/>
      <c r="R23" s="3"/>
      <c r="S23" s="3"/>
      <c r="T23" s="3"/>
      <c r="U23" s="8"/>
      <c r="V23" s="7">
        <v>0</v>
      </c>
    </row>
    <row r="24" spans="1:22" ht="43.8" thickBot="1">
      <c r="A24" s="3"/>
      <c r="B24" s="3" t="s">
        <v>687</v>
      </c>
      <c r="C24" s="4">
        <v>82194</v>
      </c>
      <c r="D24" s="4">
        <v>17469064</v>
      </c>
      <c r="E24" s="5" t="s">
        <v>688</v>
      </c>
      <c r="F24" s="6" t="s">
        <v>13</v>
      </c>
      <c r="G24" s="5" t="s">
        <v>17</v>
      </c>
      <c r="H24" s="7">
        <v>1</v>
      </c>
      <c r="I24" s="3"/>
      <c r="J24" s="3"/>
      <c r="K24" s="3"/>
      <c r="L24" s="3"/>
      <c r="M24" s="3"/>
      <c r="N24" s="8"/>
      <c r="O24" s="3"/>
      <c r="P24" s="3"/>
      <c r="Q24" s="3"/>
      <c r="R24" s="3"/>
      <c r="S24" s="3"/>
      <c r="T24" s="3"/>
      <c r="U24" s="8"/>
      <c r="V24" s="7">
        <v>0</v>
      </c>
    </row>
    <row r="25" spans="1:22" ht="43.8" thickBot="1">
      <c r="A25" s="3"/>
      <c r="B25" s="3" t="s">
        <v>707</v>
      </c>
      <c r="C25" s="4">
        <v>86245</v>
      </c>
      <c r="D25" s="4">
        <v>17524365</v>
      </c>
      <c r="E25" s="5" t="s">
        <v>708</v>
      </c>
      <c r="F25" s="6" t="s">
        <v>13</v>
      </c>
      <c r="G25" s="5" t="s">
        <v>17</v>
      </c>
      <c r="H25" s="7">
        <v>1</v>
      </c>
      <c r="I25" s="3"/>
      <c r="J25" s="3"/>
      <c r="K25" s="3"/>
      <c r="L25" s="3"/>
      <c r="M25" s="3"/>
      <c r="N25" s="8"/>
      <c r="O25" s="3"/>
      <c r="P25" s="3"/>
      <c r="Q25" s="3"/>
      <c r="R25" s="3"/>
      <c r="S25" s="3"/>
      <c r="T25" s="3"/>
      <c r="U25" s="8"/>
      <c r="V25" s="7">
        <v>0</v>
      </c>
    </row>
    <row r="26" spans="1:22" ht="43.8" thickBot="1">
      <c r="A26" s="3"/>
      <c r="B26" s="3" t="s">
        <v>727</v>
      </c>
      <c r="C26" s="4">
        <v>29412</v>
      </c>
      <c r="D26" s="4">
        <v>13469309</v>
      </c>
      <c r="E26" s="5" t="s">
        <v>728</v>
      </c>
      <c r="F26" s="6" t="s">
        <v>13</v>
      </c>
      <c r="G26" s="5" t="s">
        <v>17</v>
      </c>
      <c r="H26" s="7">
        <v>1</v>
      </c>
      <c r="I26" s="3"/>
      <c r="J26" s="3"/>
      <c r="K26" s="3"/>
      <c r="L26" s="3"/>
      <c r="M26" s="3"/>
      <c r="N26" s="8"/>
      <c r="O26" s="3"/>
      <c r="P26" s="3"/>
      <c r="Q26" s="3"/>
      <c r="R26" s="3"/>
      <c r="S26" s="3"/>
      <c r="T26" s="3"/>
      <c r="U26" s="8"/>
      <c r="V26" s="7">
        <v>0</v>
      </c>
    </row>
    <row r="27" spans="1:22" ht="43.8" thickBot="1">
      <c r="A27" s="9"/>
      <c r="B27" s="9" t="s">
        <v>449</v>
      </c>
      <c r="C27" s="10">
        <v>110101</v>
      </c>
      <c r="D27" s="10">
        <v>12418114</v>
      </c>
      <c r="E27" s="9" t="s">
        <v>450</v>
      </c>
      <c r="F27" s="11" t="s">
        <v>13</v>
      </c>
      <c r="G27" s="9" t="s">
        <v>27</v>
      </c>
      <c r="H27" s="9"/>
      <c r="I27" s="9"/>
      <c r="J27" s="9"/>
      <c r="K27" s="9"/>
      <c r="L27" s="9"/>
      <c r="M27" s="9"/>
      <c r="N27" s="12"/>
      <c r="O27" s="9"/>
      <c r="P27" s="9"/>
      <c r="Q27" s="9"/>
      <c r="R27" s="9"/>
      <c r="S27" s="9"/>
      <c r="T27" s="9"/>
      <c r="U27" s="12"/>
      <c r="V27" s="13">
        <v>111</v>
      </c>
    </row>
    <row r="28" spans="1:22" ht="43.8" thickBot="1">
      <c r="A28" s="9"/>
      <c r="B28" s="9" t="s">
        <v>91</v>
      </c>
      <c r="C28" s="10">
        <v>113478</v>
      </c>
      <c r="D28" s="10">
        <v>24176443</v>
      </c>
      <c r="E28" s="9" t="s">
        <v>92</v>
      </c>
      <c r="F28" s="11" t="s">
        <v>13</v>
      </c>
      <c r="G28" s="9" t="s">
        <v>14</v>
      </c>
      <c r="H28" s="9"/>
      <c r="I28" s="9"/>
      <c r="J28" s="9"/>
      <c r="K28" s="9"/>
      <c r="L28" s="9"/>
      <c r="M28" s="9"/>
      <c r="N28" s="12"/>
      <c r="O28" s="9"/>
      <c r="P28" s="9"/>
      <c r="Q28" s="9"/>
      <c r="R28" s="9"/>
      <c r="S28" s="9"/>
      <c r="T28" s="9"/>
      <c r="U28" s="12"/>
      <c r="V28" s="13">
        <v>148</v>
      </c>
    </row>
    <row r="29" spans="1:22" ht="43.8" thickBot="1">
      <c r="A29" s="14"/>
      <c r="B29" s="14" t="s">
        <v>705</v>
      </c>
      <c r="C29" s="15">
        <v>107311</v>
      </c>
      <c r="D29" s="15">
        <v>24080903</v>
      </c>
      <c r="E29" s="14" t="s">
        <v>706</v>
      </c>
      <c r="F29" s="16" t="s">
        <v>13</v>
      </c>
      <c r="G29" s="14" t="s">
        <v>40</v>
      </c>
      <c r="H29" s="14"/>
      <c r="I29" s="17">
        <v>0</v>
      </c>
      <c r="J29" s="17">
        <v>0</v>
      </c>
      <c r="K29" s="17">
        <v>5</v>
      </c>
      <c r="L29" s="17">
        <v>5</v>
      </c>
      <c r="M29" s="17">
        <v>0</v>
      </c>
      <c r="N29" s="18">
        <v>10</v>
      </c>
      <c r="O29" s="19">
        <v>0</v>
      </c>
      <c r="P29" s="19">
        <v>0</v>
      </c>
      <c r="Q29" s="17">
        <v>16</v>
      </c>
      <c r="R29" s="17">
        <v>6.5</v>
      </c>
      <c r="S29" s="17">
        <v>0</v>
      </c>
      <c r="T29" s="17">
        <v>0</v>
      </c>
      <c r="U29" s="18">
        <v>0</v>
      </c>
      <c r="V29" s="20">
        <v>42.5</v>
      </c>
    </row>
    <row r="30" spans="1:22" ht="43.8" thickBot="1">
      <c r="A30" s="21"/>
      <c r="B30" s="21" t="s">
        <v>149</v>
      </c>
      <c r="C30" s="22">
        <v>107593</v>
      </c>
      <c r="D30" s="22">
        <v>24086258</v>
      </c>
      <c r="E30" s="23" t="s">
        <v>150</v>
      </c>
      <c r="F30" s="24" t="s">
        <v>13</v>
      </c>
      <c r="G30" s="23" t="s">
        <v>20</v>
      </c>
      <c r="H30" s="21"/>
      <c r="I30" s="25">
        <v>5</v>
      </c>
      <c r="J30" s="25">
        <v>0</v>
      </c>
      <c r="K30" s="25">
        <v>5</v>
      </c>
      <c r="L30" s="25">
        <v>5</v>
      </c>
      <c r="M30" s="25">
        <v>0</v>
      </c>
      <c r="N30" s="26">
        <v>2</v>
      </c>
      <c r="O30" s="25">
        <v>4</v>
      </c>
      <c r="P30" s="25">
        <v>0</v>
      </c>
      <c r="Q30" s="25">
        <v>8</v>
      </c>
      <c r="R30" s="25">
        <v>6</v>
      </c>
      <c r="S30" s="25">
        <v>3</v>
      </c>
      <c r="T30" s="25">
        <v>10</v>
      </c>
      <c r="U30" s="26">
        <v>3</v>
      </c>
      <c r="V30" s="20">
        <v>51</v>
      </c>
    </row>
    <row r="31" spans="1:22" ht="43.8" thickBot="1">
      <c r="A31" s="14"/>
      <c r="B31" s="14" t="s">
        <v>41</v>
      </c>
      <c r="C31" s="15">
        <v>109628</v>
      </c>
      <c r="D31" s="15">
        <v>24119612</v>
      </c>
      <c r="E31" s="14" t="s">
        <v>42</v>
      </c>
      <c r="F31" s="16" t="s">
        <v>13</v>
      </c>
      <c r="G31" s="14" t="s">
        <v>14</v>
      </c>
      <c r="H31" s="14"/>
      <c r="I31" s="17">
        <v>5</v>
      </c>
      <c r="J31" s="17">
        <v>5</v>
      </c>
      <c r="K31" s="17">
        <v>0</v>
      </c>
      <c r="L31" s="17">
        <v>0</v>
      </c>
      <c r="M31" s="17">
        <v>5</v>
      </c>
      <c r="N31" s="18">
        <v>0</v>
      </c>
      <c r="O31" s="17">
        <v>2</v>
      </c>
      <c r="P31" s="17">
        <v>11</v>
      </c>
      <c r="Q31" s="17">
        <v>14</v>
      </c>
      <c r="R31" s="17">
        <v>6</v>
      </c>
      <c r="S31" s="17">
        <v>4</v>
      </c>
      <c r="T31" s="17">
        <v>8</v>
      </c>
      <c r="U31" s="18">
        <v>1</v>
      </c>
      <c r="V31" s="20">
        <v>61</v>
      </c>
    </row>
    <row r="32" spans="1:22" ht="43.8" thickBot="1">
      <c r="A32" s="23"/>
      <c r="B32" s="23" t="s">
        <v>335</v>
      </c>
      <c r="C32" s="22">
        <v>113847</v>
      </c>
      <c r="D32" s="22">
        <v>24182308</v>
      </c>
      <c r="E32" s="23" t="s">
        <v>336</v>
      </c>
      <c r="F32" s="24" t="s">
        <v>13</v>
      </c>
      <c r="G32" s="23" t="s">
        <v>14</v>
      </c>
      <c r="H32" s="21"/>
      <c r="I32" s="25">
        <v>10</v>
      </c>
      <c r="J32" s="25">
        <v>2</v>
      </c>
      <c r="K32" s="25">
        <v>0</v>
      </c>
      <c r="L32" s="25">
        <v>5</v>
      </c>
      <c r="M32" s="25">
        <v>5</v>
      </c>
      <c r="N32" s="26">
        <v>0</v>
      </c>
      <c r="O32" s="25">
        <v>0</v>
      </c>
      <c r="P32" s="25">
        <v>10</v>
      </c>
      <c r="Q32" s="25">
        <v>5</v>
      </c>
      <c r="R32" s="25">
        <v>12</v>
      </c>
      <c r="S32" s="25">
        <v>2</v>
      </c>
      <c r="T32" s="25">
        <v>6</v>
      </c>
      <c r="U32" s="26">
        <v>5</v>
      </c>
      <c r="V32" s="20">
        <v>62</v>
      </c>
    </row>
    <row r="33" spans="1:22" ht="43.8" thickBot="1">
      <c r="A33" s="14"/>
      <c r="B33" s="14" t="s">
        <v>293</v>
      </c>
      <c r="C33" s="15">
        <v>109871</v>
      </c>
      <c r="D33" s="15">
        <v>24122910</v>
      </c>
      <c r="E33" s="14" t="s">
        <v>294</v>
      </c>
      <c r="F33" s="16" t="s">
        <v>13</v>
      </c>
      <c r="G33" s="14" t="s">
        <v>27</v>
      </c>
      <c r="H33" s="14"/>
      <c r="I33" s="17">
        <v>5</v>
      </c>
      <c r="J33" s="17">
        <v>10</v>
      </c>
      <c r="K33" s="17">
        <v>0</v>
      </c>
      <c r="L33" s="17">
        <v>5</v>
      </c>
      <c r="M33" s="17">
        <v>0</v>
      </c>
      <c r="N33" s="18">
        <v>2</v>
      </c>
      <c r="O33" s="17">
        <v>5</v>
      </c>
      <c r="P33" s="17">
        <v>14</v>
      </c>
      <c r="Q33" s="17">
        <v>11</v>
      </c>
      <c r="R33" s="17">
        <v>6</v>
      </c>
      <c r="S33" s="17">
        <v>9</v>
      </c>
      <c r="T33" s="17">
        <v>0</v>
      </c>
      <c r="U33" s="18">
        <v>0</v>
      </c>
      <c r="V33" s="20">
        <v>67</v>
      </c>
    </row>
    <row r="34" spans="1:22" ht="43.8" thickBot="1">
      <c r="A34" s="23"/>
      <c r="B34" s="23" t="s">
        <v>515</v>
      </c>
      <c r="C34" s="22">
        <v>33901</v>
      </c>
      <c r="D34" s="22">
        <v>15904474</v>
      </c>
      <c r="E34" s="23" t="s">
        <v>516</v>
      </c>
      <c r="F34" s="24" t="s">
        <v>13</v>
      </c>
      <c r="G34" s="23" t="s">
        <v>40</v>
      </c>
      <c r="H34" s="21"/>
      <c r="I34" s="25">
        <v>5</v>
      </c>
      <c r="J34" s="25">
        <v>0</v>
      </c>
      <c r="K34" s="25">
        <v>0</v>
      </c>
      <c r="L34" s="25">
        <v>0</v>
      </c>
      <c r="M34" s="25">
        <v>0</v>
      </c>
      <c r="N34" s="26">
        <v>5</v>
      </c>
      <c r="O34" s="25">
        <v>4</v>
      </c>
      <c r="P34" s="25">
        <v>10</v>
      </c>
      <c r="Q34" s="25">
        <v>12</v>
      </c>
      <c r="R34" s="25">
        <v>3.5</v>
      </c>
      <c r="S34" s="25">
        <v>5</v>
      </c>
      <c r="T34" s="25">
        <v>25</v>
      </c>
      <c r="U34" s="26">
        <v>4</v>
      </c>
      <c r="V34" s="20">
        <v>73.5</v>
      </c>
    </row>
    <row r="35" spans="1:22" ht="43.8" thickBot="1">
      <c r="A35" s="14"/>
      <c r="B35" s="14" t="s">
        <v>587</v>
      </c>
      <c r="C35" s="15">
        <v>104099</v>
      </c>
      <c r="D35" s="15">
        <v>24012359</v>
      </c>
      <c r="E35" s="14" t="s">
        <v>588</v>
      </c>
      <c r="F35" s="16" t="s">
        <v>13</v>
      </c>
      <c r="G35" s="14" t="s">
        <v>17</v>
      </c>
      <c r="H35" s="14"/>
      <c r="I35" s="17">
        <v>5</v>
      </c>
      <c r="J35" s="17">
        <v>7</v>
      </c>
      <c r="K35" s="17">
        <v>5</v>
      </c>
      <c r="L35" s="17">
        <v>5</v>
      </c>
      <c r="M35" s="17">
        <v>5</v>
      </c>
      <c r="N35" s="18">
        <v>0</v>
      </c>
      <c r="O35" s="17">
        <v>1</v>
      </c>
      <c r="P35" s="17">
        <v>10</v>
      </c>
      <c r="Q35" s="17">
        <v>12</v>
      </c>
      <c r="R35" s="17">
        <v>10</v>
      </c>
      <c r="S35" s="17">
        <v>4</v>
      </c>
      <c r="T35" s="17">
        <v>10</v>
      </c>
      <c r="U35" s="18">
        <v>0</v>
      </c>
      <c r="V35" s="20">
        <v>74</v>
      </c>
    </row>
    <row r="36" spans="1:22" ht="43.8" thickBot="1">
      <c r="A36" s="23"/>
      <c r="B36" s="23" t="s">
        <v>341</v>
      </c>
      <c r="C36" s="22">
        <v>104341</v>
      </c>
      <c r="D36" s="22">
        <v>24036159</v>
      </c>
      <c r="E36" s="23" t="s">
        <v>342</v>
      </c>
      <c r="F36" s="24" t="s">
        <v>13</v>
      </c>
      <c r="G36" s="23" t="s">
        <v>14</v>
      </c>
      <c r="H36" s="21"/>
      <c r="I36" s="25">
        <v>10</v>
      </c>
      <c r="J36" s="25">
        <v>5</v>
      </c>
      <c r="K36" s="25">
        <v>0</v>
      </c>
      <c r="L36" s="25">
        <v>5</v>
      </c>
      <c r="M36" s="25">
        <v>5</v>
      </c>
      <c r="N36" s="26">
        <v>2</v>
      </c>
      <c r="O36" s="25">
        <v>5</v>
      </c>
      <c r="P36" s="25">
        <v>10</v>
      </c>
      <c r="Q36" s="25">
        <v>16</v>
      </c>
      <c r="R36" s="25">
        <v>9</v>
      </c>
      <c r="S36" s="25">
        <v>2</v>
      </c>
      <c r="T36" s="25">
        <v>4</v>
      </c>
      <c r="U36" s="26">
        <v>3</v>
      </c>
      <c r="V36" s="20">
        <v>76</v>
      </c>
    </row>
    <row r="37" spans="1:22" ht="43.8" thickBot="1">
      <c r="A37" s="14"/>
      <c r="B37" s="14" t="s">
        <v>75</v>
      </c>
      <c r="C37" s="15">
        <v>104517</v>
      </c>
      <c r="D37" s="15">
        <v>24036261</v>
      </c>
      <c r="E37" s="14" t="s">
        <v>76</v>
      </c>
      <c r="F37" s="16" t="s">
        <v>13</v>
      </c>
      <c r="G37" s="14" t="s">
        <v>40</v>
      </c>
      <c r="H37" s="14"/>
      <c r="I37" s="17">
        <v>10</v>
      </c>
      <c r="J37" s="17">
        <v>5</v>
      </c>
      <c r="K37" s="17">
        <v>0</v>
      </c>
      <c r="L37" s="17">
        <v>5</v>
      </c>
      <c r="M37" s="17">
        <v>10</v>
      </c>
      <c r="N37" s="18">
        <v>2</v>
      </c>
      <c r="O37" s="17">
        <v>5</v>
      </c>
      <c r="P37" s="17">
        <v>8</v>
      </c>
      <c r="Q37" s="17">
        <v>7</v>
      </c>
      <c r="R37" s="17">
        <v>6</v>
      </c>
      <c r="S37" s="17">
        <v>6</v>
      </c>
      <c r="T37" s="17">
        <v>9</v>
      </c>
      <c r="U37" s="18">
        <v>6</v>
      </c>
      <c r="V37" s="20">
        <v>79</v>
      </c>
    </row>
    <row r="38" spans="1:22" ht="43.8" thickBot="1">
      <c r="A38" s="23"/>
      <c r="B38" s="23" t="s">
        <v>205</v>
      </c>
      <c r="C38" s="22">
        <v>109908</v>
      </c>
      <c r="D38" s="22">
        <v>24122689</v>
      </c>
      <c r="E38" s="23" t="s">
        <v>206</v>
      </c>
      <c r="F38" s="24" t="s">
        <v>13</v>
      </c>
      <c r="G38" s="23" t="s">
        <v>20</v>
      </c>
      <c r="H38" s="21"/>
      <c r="I38" s="25">
        <v>0</v>
      </c>
      <c r="J38" s="25">
        <v>5</v>
      </c>
      <c r="K38" s="25">
        <v>5</v>
      </c>
      <c r="L38" s="25">
        <v>10</v>
      </c>
      <c r="M38" s="25">
        <v>0</v>
      </c>
      <c r="N38" s="26">
        <v>0</v>
      </c>
      <c r="O38" s="25">
        <v>5</v>
      </c>
      <c r="P38" s="25">
        <v>16</v>
      </c>
      <c r="Q38" s="25">
        <v>7</v>
      </c>
      <c r="R38" s="25">
        <v>3</v>
      </c>
      <c r="S38" s="25">
        <v>1</v>
      </c>
      <c r="T38" s="25">
        <v>12</v>
      </c>
      <c r="U38" s="26">
        <v>15</v>
      </c>
      <c r="V38" s="20">
        <v>79</v>
      </c>
    </row>
    <row r="39" spans="1:22" ht="43.8" thickBot="1">
      <c r="A39" s="14"/>
      <c r="B39" s="14" t="s">
        <v>401</v>
      </c>
      <c r="C39" s="15">
        <v>104048</v>
      </c>
      <c r="D39" s="15">
        <v>24037536</v>
      </c>
      <c r="E39" s="14" t="s">
        <v>402</v>
      </c>
      <c r="F39" s="16" t="s">
        <v>13</v>
      </c>
      <c r="G39" s="14" t="s">
        <v>40</v>
      </c>
      <c r="H39" s="14"/>
      <c r="I39" s="17">
        <v>10</v>
      </c>
      <c r="J39" s="17">
        <v>0</v>
      </c>
      <c r="K39" s="17">
        <v>10</v>
      </c>
      <c r="L39" s="17">
        <v>5</v>
      </c>
      <c r="M39" s="17">
        <v>10</v>
      </c>
      <c r="N39" s="18">
        <v>5</v>
      </c>
      <c r="O39" s="17">
        <v>5</v>
      </c>
      <c r="P39" s="17">
        <v>12</v>
      </c>
      <c r="Q39" s="17">
        <v>7</v>
      </c>
      <c r="R39" s="17">
        <v>6</v>
      </c>
      <c r="S39" s="17">
        <v>0</v>
      </c>
      <c r="T39" s="17">
        <v>8</v>
      </c>
      <c r="U39" s="18">
        <v>2</v>
      </c>
      <c r="V39" s="20">
        <v>80</v>
      </c>
    </row>
    <row r="40" spans="1:22" ht="43.8" thickBot="1">
      <c r="A40" s="23"/>
      <c r="B40" s="23" t="s">
        <v>525</v>
      </c>
      <c r="C40" s="22">
        <v>109996</v>
      </c>
      <c r="D40" s="22">
        <v>24124338</v>
      </c>
      <c r="E40" s="23" t="s">
        <v>526</v>
      </c>
      <c r="F40" s="24" t="s">
        <v>13</v>
      </c>
      <c r="G40" s="23" t="s">
        <v>40</v>
      </c>
      <c r="H40" s="21"/>
      <c r="I40" s="25">
        <v>0</v>
      </c>
      <c r="J40" s="25">
        <v>5</v>
      </c>
      <c r="K40" s="25">
        <v>10</v>
      </c>
      <c r="L40" s="25">
        <v>5</v>
      </c>
      <c r="M40" s="25">
        <v>0</v>
      </c>
      <c r="N40" s="26">
        <v>10</v>
      </c>
      <c r="O40" s="25">
        <v>5</v>
      </c>
      <c r="P40" s="25">
        <v>14</v>
      </c>
      <c r="Q40" s="25">
        <v>15</v>
      </c>
      <c r="R40" s="25">
        <v>13</v>
      </c>
      <c r="S40" s="25">
        <v>2</v>
      </c>
      <c r="T40" s="25">
        <v>0</v>
      </c>
      <c r="U40" s="26">
        <v>1</v>
      </c>
      <c r="V40" s="20">
        <v>80</v>
      </c>
    </row>
    <row r="41" spans="1:22" ht="43.8" thickBot="1">
      <c r="A41" s="14"/>
      <c r="B41" s="14" t="s">
        <v>491</v>
      </c>
      <c r="C41" s="15">
        <v>109738</v>
      </c>
      <c r="D41" s="15">
        <v>24118065</v>
      </c>
      <c r="E41" s="14" t="s">
        <v>492</v>
      </c>
      <c r="F41" s="16" t="s">
        <v>13</v>
      </c>
      <c r="G41" s="14" t="s">
        <v>27</v>
      </c>
      <c r="H41" s="14"/>
      <c r="I41" s="17">
        <v>0</v>
      </c>
      <c r="J41" s="17">
        <v>10</v>
      </c>
      <c r="K41" s="17">
        <v>5</v>
      </c>
      <c r="L41" s="17">
        <v>5</v>
      </c>
      <c r="M41" s="17">
        <v>5</v>
      </c>
      <c r="N41" s="18">
        <v>10</v>
      </c>
      <c r="O41" s="17">
        <v>8</v>
      </c>
      <c r="P41" s="17">
        <v>12</v>
      </c>
      <c r="Q41" s="17">
        <v>7</v>
      </c>
      <c r="R41" s="17">
        <v>6</v>
      </c>
      <c r="S41" s="17">
        <v>7</v>
      </c>
      <c r="T41" s="17">
        <v>4</v>
      </c>
      <c r="U41" s="18">
        <v>2</v>
      </c>
      <c r="V41" s="20">
        <v>81</v>
      </c>
    </row>
    <row r="42" spans="1:22" ht="43.8" thickBot="1">
      <c r="A42" s="23"/>
      <c r="B42" s="23" t="s">
        <v>441</v>
      </c>
      <c r="C42" s="22">
        <v>111179</v>
      </c>
      <c r="D42" s="22">
        <v>24143752</v>
      </c>
      <c r="E42" s="23" t="s">
        <v>442</v>
      </c>
      <c r="F42" s="24" t="s">
        <v>13</v>
      </c>
      <c r="G42" s="23" t="s">
        <v>14</v>
      </c>
      <c r="H42" s="21"/>
      <c r="I42" s="25">
        <v>5</v>
      </c>
      <c r="J42" s="25">
        <v>5</v>
      </c>
      <c r="K42" s="25">
        <v>0</v>
      </c>
      <c r="L42" s="25">
        <v>0</v>
      </c>
      <c r="M42" s="25">
        <v>10</v>
      </c>
      <c r="N42" s="26">
        <v>10</v>
      </c>
      <c r="O42" s="25">
        <v>2</v>
      </c>
      <c r="P42" s="25">
        <v>4</v>
      </c>
      <c r="Q42" s="25">
        <v>16</v>
      </c>
      <c r="R42" s="25">
        <v>3</v>
      </c>
      <c r="S42" s="25">
        <v>7</v>
      </c>
      <c r="T42" s="25">
        <v>16</v>
      </c>
      <c r="U42" s="26">
        <v>5</v>
      </c>
      <c r="V42" s="20">
        <v>83</v>
      </c>
    </row>
    <row r="43" spans="1:22" ht="43.8" thickBot="1">
      <c r="A43" s="14"/>
      <c r="B43" s="14" t="s">
        <v>545</v>
      </c>
      <c r="C43" s="15">
        <v>107189</v>
      </c>
      <c r="D43" s="15">
        <v>24079985</v>
      </c>
      <c r="E43" s="14" t="s">
        <v>546</v>
      </c>
      <c r="F43" s="16" t="s">
        <v>13</v>
      </c>
      <c r="G43" s="14" t="s">
        <v>20</v>
      </c>
      <c r="H43" s="14"/>
      <c r="I43" s="17">
        <v>5</v>
      </c>
      <c r="J43" s="17">
        <v>0</v>
      </c>
      <c r="K43" s="17">
        <v>0</v>
      </c>
      <c r="L43" s="17">
        <v>5</v>
      </c>
      <c r="M43" s="17">
        <v>10</v>
      </c>
      <c r="N43" s="18">
        <v>0</v>
      </c>
      <c r="O43" s="17">
        <v>3</v>
      </c>
      <c r="P43" s="17">
        <v>5</v>
      </c>
      <c r="Q43" s="17">
        <v>8</v>
      </c>
      <c r="R43" s="17">
        <v>3</v>
      </c>
      <c r="S43" s="17">
        <v>5</v>
      </c>
      <c r="T43" s="17">
        <v>25</v>
      </c>
      <c r="U43" s="18">
        <v>15</v>
      </c>
      <c r="V43" s="20">
        <v>84</v>
      </c>
    </row>
    <row r="44" spans="1:22" ht="43.8" thickBot="1">
      <c r="A44" s="23"/>
      <c r="B44" s="23" t="s">
        <v>471</v>
      </c>
      <c r="C44" s="22">
        <v>108679</v>
      </c>
      <c r="D44" s="22">
        <v>24103156</v>
      </c>
      <c r="E44" s="23" t="s">
        <v>472</v>
      </c>
      <c r="F44" s="24" t="s">
        <v>13</v>
      </c>
      <c r="G44" s="23" t="s">
        <v>17</v>
      </c>
      <c r="H44" s="21"/>
      <c r="I44" s="25">
        <v>5</v>
      </c>
      <c r="J44" s="25">
        <v>5</v>
      </c>
      <c r="K44" s="25">
        <v>5</v>
      </c>
      <c r="L44" s="25">
        <v>10</v>
      </c>
      <c r="M44" s="25">
        <v>5</v>
      </c>
      <c r="N44" s="26">
        <v>7</v>
      </c>
      <c r="O44" s="25">
        <v>5</v>
      </c>
      <c r="P44" s="25">
        <v>0</v>
      </c>
      <c r="Q44" s="25">
        <v>11</v>
      </c>
      <c r="R44" s="25">
        <v>6</v>
      </c>
      <c r="S44" s="25">
        <v>10</v>
      </c>
      <c r="T44" s="25">
        <v>14</v>
      </c>
      <c r="U44" s="26">
        <v>2</v>
      </c>
      <c r="V44" s="20">
        <v>85</v>
      </c>
    </row>
    <row r="45" spans="1:22" ht="43.8" thickBot="1">
      <c r="A45" s="14"/>
      <c r="B45" s="14" t="s">
        <v>417</v>
      </c>
      <c r="C45" s="15">
        <v>113501</v>
      </c>
      <c r="D45" s="15">
        <v>24176511</v>
      </c>
      <c r="E45" s="14" t="s">
        <v>418</v>
      </c>
      <c r="F45" s="16" t="s">
        <v>13</v>
      </c>
      <c r="G45" s="14" t="s">
        <v>20</v>
      </c>
      <c r="H45" s="14"/>
      <c r="I45" s="17">
        <v>7</v>
      </c>
      <c r="J45" s="17">
        <v>5</v>
      </c>
      <c r="K45" s="17">
        <v>10</v>
      </c>
      <c r="L45" s="17">
        <v>0</v>
      </c>
      <c r="M45" s="17">
        <v>0</v>
      </c>
      <c r="N45" s="18">
        <v>2</v>
      </c>
      <c r="O45" s="17">
        <v>4</v>
      </c>
      <c r="P45" s="17">
        <v>2</v>
      </c>
      <c r="Q45" s="17">
        <v>13</v>
      </c>
      <c r="R45" s="17">
        <v>6</v>
      </c>
      <c r="S45" s="17">
        <v>10</v>
      </c>
      <c r="T45" s="17">
        <v>11</v>
      </c>
      <c r="U45" s="18">
        <v>15</v>
      </c>
      <c r="V45" s="20">
        <v>85</v>
      </c>
    </row>
    <row r="46" spans="1:22" ht="43.8" thickBot="1">
      <c r="A46" s="23"/>
      <c r="B46" s="23" t="s">
        <v>301</v>
      </c>
      <c r="C46" s="22">
        <v>59652</v>
      </c>
      <c r="D46" s="22">
        <v>17242930</v>
      </c>
      <c r="E46" s="23" t="s">
        <v>302</v>
      </c>
      <c r="F46" s="24" t="s">
        <v>13</v>
      </c>
      <c r="G46" s="23" t="s">
        <v>17</v>
      </c>
      <c r="H46" s="21"/>
      <c r="I46" s="25">
        <v>7</v>
      </c>
      <c r="J46" s="25">
        <v>0</v>
      </c>
      <c r="K46" s="25">
        <v>0</v>
      </c>
      <c r="L46" s="25">
        <v>5</v>
      </c>
      <c r="M46" s="25">
        <v>0</v>
      </c>
      <c r="N46" s="26">
        <v>4</v>
      </c>
      <c r="O46" s="25">
        <v>3</v>
      </c>
      <c r="P46" s="25">
        <v>8</v>
      </c>
      <c r="Q46" s="25">
        <v>14</v>
      </c>
      <c r="R46" s="25">
        <v>6.5</v>
      </c>
      <c r="S46" s="25">
        <v>10</v>
      </c>
      <c r="T46" s="25">
        <v>23</v>
      </c>
      <c r="U46" s="26">
        <v>5</v>
      </c>
      <c r="V46" s="20">
        <v>85.5</v>
      </c>
    </row>
    <row r="47" spans="1:22" ht="43.8" thickBot="1">
      <c r="A47" s="14"/>
      <c r="B47" s="14" t="s">
        <v>93</v>
      </c>
      <c r="C47" s="15">
        <v>104245</v>
      </c>
      <c r="D47" s="15">
        <v>24036176</v>
      </c>
      <c r="E47" s="14" t="s">
        <v>94</v>
      </c>
      <c r="F47" s="16" t="s">
        <v>13</v>
      </c>
      <c r="G47" s="14" t="s">
        <v>27</v>
      </c>
      <c r="H47" s="14"/>
      <c r="I47" s="17">
        <v>10</v>
      </c>
      <c r="J47" s="17">
        <v>5</v>
      </c>
      <c r="K47" s="17">
        <v>0</v>
      </c>
      <c r="L47" s="17">
        <v>5</v>
      </c>
      <c r="M47" s="17">
        <v>5</v>
      </c>
      <c r="N47" s="18">
        <v>7</v>
      </c>
      <c r="O47" s="17">
        <v>5</v>
      </c>
      <c r="P47" s="17">
        <v>13</v>
      </c>
      <c r="Q47" s="17">
        <v>16</v>
      </c>
      <c r="R47" s="17">
        <v>12</v>
      </c>
      <c r="S47" s="17">
        <v>1</v>
      </c>
      <c r="T47" s="17">
        <v>2</v>
      </c>
      <c r="U47" s="18">
        <v>5</v>
      </c>
      <c r="V47" s="20">
        <v>86</v>
      </c>
    </row>
    <row r="48" spans="1:22" ht="43.8" thickBot="1">
      <c r="A48" s="23"/>
      <c r="B48" s="23" t="s">
        <v>721</v>
      </c>
      <c r="C48" s="22">
        <v>113610</v>
      </c>
      <c r="D48" s="22">
        <v>24178211</v>
      </c>
      <c r="E48" s="23" t="s">
        <v>722</v>
      </c>
      <c r="F48" s="24" t="s">
        <v>13</v>
      </c>
      <c r="G48" s="23" t="s">
        <v>27</v>
      </c>
      <c r="H48" s="21"/>
      <c r="I48" s="25">
        <v>0</v>
      </c>
      <c r="J48" s="25">
        <v>5</v>
      </c>
      <c r="K48" s="25">
        <v>0</v>
      </c>
      <c r="L48" s="25">
        <v>0</v>
      </c>
      <c r="M48" s="25">
        <v>0</v>
      </c>
      <c r="N48" s="26">
        <v>7</v>
      </c>
      <c r="O48" s="25">
        <v>7</v>
      </c>
      <c r="P48" s="25">
        <v>16</v>
      </c>
      <c r="Q48" s="25">
        <v>15</v>
      </c>
      <c r="R48" s="25">
        <v>10.5</v>
      </c>
      <c r="S48" s="25">
        <v>5</v>
      </c>
      <c r="T48" s="25">
        <v>18</v>
      </c>
      <c r="U48" s="26">
        <v>3</v>
      </c>
      <c r="V48" s="20">
        <v>86.5</v>
      </c>
    </row>
    <row r="49" spans="1:22" ht="43.8" thickBot="1">
      <c r="A49" s="14"/>
      <c r="B49" s="14" t="s">
        <v>28</v>
      </c>
      <c r="C49" s="15">
        <v>107576</v>
      </c>
      <c r="D49" s="15">
        <v>24086292</v>
      </c>
      <c r="E49" s="14" t="s">
        <v>29</v>
      </c>
      <c r="F49" s="16" t="s">
        <v>13</v>
      </c>
      <c r="G49" s="14" t="s">
        <v>17</v>
      </c>
      <c r="H49" s="14"/>
      <c r="I49" s="17">
        <v>5</v>
      </c>
      <c r="J49" s="17">
        <v>10</v>
      </c>
      <c r="K49" s="17">
        <v>10</v>
      </c>
      <c r="L49" s="17">
        <v>5</v>
      </c>
      <c r="M49" s="17">
        <v>5</v>
      </c>
      <c r="N49" s="18">
        <v>0</v>
      </c>
      <c r="O49" s="17">
        <v>4</v>
      </c>
      <c r="P49" s="17">
        <v>15</v>
      </c>
      <c r="Q49" s="17">
        <v>14</v>
      </c>
      <c r="R49" s="17">
        <v>3.5</v>
      </c>
      <c r="S49" s="17">
        <v>4</v>
      </c>
      <c r="T49" s="17">
        <v>11</v>
      </c>
      <c r="U49" s="18">
        <v>2</v>
      </c>
      <c r="V49" s="20">
        <v>88.5</v>
      </c>
    </row>
    <row r="50" spans="1:22" ht="43.8" thickBot="1">
      <c r="A50" s="23"/>
      <c r="B50" s="23" t="s">
        <v>51</v>
      </c>
      <c r="C50" s="22">
        <v>103696</v>
      </c>
      <c r="D50" s="22">
        <v>24037417</v>
      </c>
      <c r="E50" s="23" t="s">
        <v>52</v>
      </c>
      <c r="F50" s="24" t="s">
        <v>13</v>
      </c>
      <c r="G50" s="23" t="s">
        <v>27</v>
      </c>
      <c r="H50" s="21"/>
      <c r="I50" s="25">
        <v>5</v>
      </c>
      <c r="J50" s="25">
        <v>5</v>
      </c>
      <c r="K50" s="25">
        <v>10</v>
      </c>
      <c r="L50" s="25">
        <v>10</v>
      </c>
      <c r="M50" s="25">
        <v>5</v>
      </c>
      <c r="N50" s="26">
        <v>2</v>
      </c>
      <c r="O50" s="25">
        <v>15</v>
      </c>
      <c r="P50" s="25">
        <v>2</v>
      </c>
      <c r="Q50" s="25">
        <v>11</v>
      </c>
      <c r="R50" s="25">
        <v>6</v>
      </c>
      <c r="S50" s="25">
        <v>8</v>
      </c>
      <c r="T50" s="25">
        <v>10</v>
      </c>
      <c r="U50" s="26">
        <v>0</v>
      </c>
      <c r="V50" s="20">
        <v>89</v>
      </c>
    </row>
    <row r="51" spans="1:22" ht="43.8" thickBot="1">
      <c r="A51" s="14"/>
      <c r="B51" s="14" t="s">
        <v>71</v>
      </c>
      <c r="C51" s="15">
        <v>107153</v>
      </c>
      <c r="D51" s="15">
        <v>24079475</v>
      </c>
      <c r="E51" s="14" t="s">
        <v>72</v>
      </c>
      <c r="F51" s="16" t="s">
        <v>13</v>
      </c>
      <c r="G51" s="14" t="s">
        <v>27</v>
      </c>
      <c r="H51" s="14"/>
      <c r="I51" s="17">
        <v>5</v>
      </c>
      <c r="J51" s="17">
        <v>7</v>
      </c>
      <c r="K51" s="17">
        <v>5</v>
      </c>
      <c r="L51" s="17">
        <v>0</v>
      </c>
      <c r="M51" s="17">
        <v>0</v>
      </c>
      <c r="N51" s="18">
        <v>10</v>
      </c>
      <c r="O51" s="17">
        <v>9</v>
      </c>
      <c r="P51" s="17">
        <v>16</v>
      </c>
      <c r="Q51" s="17">
        <v>15</v>
      </c>
      <c r="R51" s="17">
        <v>6.5</v>
      </c>
      <c r="S51" s="17">
        <v>8</v>
      </c>
      <c r="T51" s="17">
        <v>6</v>
      </c>
      <c r="U51" s="18">
        <v>2</v>
      </c>
      <c r="V51" s="20">
        <v>89.5</v>
      </c>
    </row>
    <row r="52" spans="1:22" ht="43.8" thickBot="1">
      <c r="A52" s="23"/>
      <c r="B52" s="23" t="s">
        <v>461</v>
      </c>
      <c r="C52" s="22">
        <v>113867</v>
      </c>
      <c r="D52" s="22">
        <v>24182291</v>
      </c>
      <c r="E52" s="23" t="s">
        <v>462</v>
      </c>
      <c r="F52" s="24" t="s">
        <v>13</v>
      </c>
      <c r="G52" s="23" t="s">
        <v>14</v>
      </c>
      <c r="H52" s="21"/>
      <c r="I52" s="25">
        <v>10</v>
      </c>
      <c r="J52" s="25">
        <v>10</v>
      </c>
      <c r="K52" s="25">
        <v>10</v>
      </c>
      <c r="L52" s="25">
        <v>5</v>
      </c>
      <c r="M52" s="25">
        <v>0</v>
      </c>
      <c r="N52" s="26">
        <v>2</v>
      </c>
      <c r="O52" s="25">
        <v>2</v>
      </c>
      <c r="P52" s="25">
        <v>16</v>
      </c>
      <c r="Q52" s="25">
        <v>11</v>
      </c>
      <c r="R52" s="25">
        <v>9.5</v>
      </c>
      <c r="S52" s="25">
        <v>8</v>
      </c>
      <c r="T52" s="25">
        <v>4</v>
      </c>
      <c r="U52" s="26">
        <v>2</v>
      </c>
      <c r="V52" s="20">
        <v>89.5</v>
      </c>
    </row>
    <row r="53" spans="1:22" ht="43.8" thickBot="1">
      <c r="A53" s="14"/>
      <c r="B53" s="14" t="s">
        <v>55</v>
      </c>
      <c r="C53" s="15">
        <v>112936</v>
      </c>
      <c r="D53" s="15">
        <v>24168810</v>
      </c>
      <c r="E53" s="14" t="s">
        <v>56</v>
      </c>
      <c r="F53" s="16" t="s">
        <v>13</v>
      </c>
      <c r="G53" s="14" t="s">
        <v>27</v>
      </c>
      <c r="H53" s="14"/>
      <c r="I53" s="17">
        <v>5</v>
      </c>
      <c r="J53" s="17">
        <v>7</v>
      </c>
      <c r="K53" s="17">
        <v>10</v>
      </c>
      <c r="L53" s="17">
        <v>5</v>
      </c>
      <c r="M53" s="17">
        <v>0</v>
      </c>
      <c r="N53" s="18">
        <v>0</v>
      </c>
      <c r="O53" s="17">
        <v>4</v>
      </c>
      <c r="P53" s="17">
        <v>13</v>
      </c>
      <c r="Q53" s="17">
        <v>13</v>
      </c>
      <c r="R53" s="17">
        <v>6</v>
      </c>
      <c r="S53" s="17">
        <v>0</v>
      </c>
      <c r="T53" s="17">
        <v>25</v>
      </c>
      <c r="U53" s="18">
        <v>2</v>
      </c>
      <c r="V53" s="20">
        <v>90</v>
      </c>
    </row>
    <row r="54" spans="1:22" ht="43.8" thickBot="1">
      <c r="A54" s="23"/>
      <c r="B54" s="23" t="s">
        <v>65</v>
      </c>
      <c r="C54" s="22">
        <v>111189</v>
      </c>
      <c r="D54" s="22">
        <v>24143718</v>
      </c>
      <c r="E54" s="23" t="s">
        <v>66</v>
      </c>
      <c r="F54" s="24" t="s">
        <v>13</v>
      </c>
      <c r="G54" s="23" t="s">
        <v>40</v>
      </c>
      <c r="H54" s="21"/>
      <c r="I54" s="25">
        <v>0</v>
      </c>
      <c r="J54" s="25">
        <v>5</v>
      </c>
      <c r="K54" s="25">
        <v>0</v>
      </c>
      <c r="L54" s="25">
        <v>5</v>
      </c>
      <c r="M54" s="25">
        <v>5</v>
      </c>
      <c r="N54" s="26">
        <v>0</v>
      </c>
      <c r="O54" s="25">
        <v>3</v>
      </c>
      <c r="P54" s="25">
        <v>16</v>
      </c>
      <c r="Q54" s="25">
        <v>14</v>
      </c>
      <c r="R54" s="25">
        <v>12.5</v>
      </c>
      <c r="S54" s="25">
        <v>14</v>
      </c>
      <c r="T54" s="25">
        <v>10</v>
      </c>
      <c r="U54" s="26">
        <v>6</v>
      </c>
      <c r="V54" s="20">
        <v>90.5</v>
      </c>
    </row>
    <row r="55" spans="1:22" ht="43.8" thickBot="1">
      <c r="A55" s="14"/>
      <c r="B55" s="14" t="s">
        <v>647</v>
      </c>
      <c r="C55" s="15">
        <v>107607</v>
      </c>
      <c r="D55" s="15">
        <v>24086377</v>
      </c>
      <c r="E55" s="14" t="s">
        <v>648</v>
      </c>
      <c r="F55" s="16" t="s">
        <v>13</v>
      </c>
      <c r="G55" s="14" t="s">
        <v>27</v>
      </c>
      <c r="H55" s="14"/>
      <c r="I55" s="17">
        <v>10</v>
      </c>
      <c r="J55" s="17">
        <v>0</v>
      </c>
      <c r="K55" s="17">
        <v>5</v>
      </c>
      <c r="L55" s="17">
        <v>0</v>
      </c>
      <c r="M55" s="17">
        <v>0</v>
      </c>
      <c r="N55" s="18">
        <v>7</v>
      </c>
      <c r="O55" s="17">
        <v>2</v>
      </c>
      <c r="P55" s="17">
        <v>8</v>
      </c>
      <c r="Q55" s="17">
        <v>16</v>
      </c>
      <c r="R55" s="17">
        <v>15.5</v>
      </c>
      <c r="S55" s="17">
        <v>10</v>
      </c>
      <c r="T55" s="17">
        <v>18</v>
      </c>
      <c r="U55" s="18">
        <v>0</v>
      </c>
      <c r="V55" s="20">
        <v>91.5</v>
      </c>
    </row>
    <row r="56" spans="1:22" ht="43.8" thickBot="1">
      <c r="A56" s="23"/>
      <c r="B56" s="23" t="s">
        <v>32</v>
      </c>
      <c r="C56" s="22">
        <v>107650</v>
      </c>
      <c r="D56" s="22">
        <v>24084898</v>
      </c>
      <c r="E56" s="23" t="s">
        <v>33</v>
      </c>
      <c r="F56" s="24" t="s">
        <v>13</v>
      </c>
      <c r="G56" s="23" t="s">
        <v>14</v>
      </c>
      <c r="H56" s="21"/>
      <c r="I56" s="25">
        <v>5</v>
      </c>
      <c r="J56" s="25">
        <v>5</v>
      </c>
      <c r="K56" s="25">
        <v>0</v>
      </c>
      <c r="L56" s="25">
        <v>5</v>
      </c>
      <c r="M56" s="25">
        <v>10</v>
      </c>
      <c r="N56" s="26">
        <v>0</v>
      </c>
      <c r="O56" s="25">
        <v>4</v>
      </c>
      <c r="P56" s="25">
        <v>15</v>
      </c>
      <c r="Q56" s="25">
        <v>14</v>
      </c>
      <c r="R56" s="25">
        <v>6</v>
      </c>
      <c r="S56" s="25">
        <v>10</v>
      </c>
      <c r="T56" s="25">
        <v>12</v>
      </c>
      <c r="U56" s="26">
        <v>6</v>
      </c>
      <c r="V56" s="20">
        <v>92</v>
      </c>
    </row>
    <row r="57" spans="1:22" ht="43.8" thickBot="1">
      <c r="A57" s="14"/>
      <c r="B57" s="14" t="s">
        <v>375</v>
      </c>
      <c r="C57" s="15">
        <v>103096</v>
      </c>
      <c r="D57" s="15">
        <v>24036023</v>
      </c>
      <c r="E57" s="14" t="s">
        <v>376</v>
      </c>
      <c r="F57" s="16" t="s">
        <v>13</v>
      </c>
      <c r="G57" s="14" t="s">
        <v>40</v>
      </c>
      <c r="H57" s="14"/>
      <c r="I57" s="17">
        <v>5</v>
      </c>
      <c r="J57" s="17">
        <v>5</v>
      </c>
      <c r="K57" s="17">
        <v>10</v>
      </c>
      <c r="L57" s="17">
        <v>5</v>
      </c>
      <c r="M57" s="17">
        <v>5</v>
      </c>
      <c r="N57" s="18">
        <v>2</v>
      </c>
      <c r="O57" s="17">
        <v>8</v>
      </c>
      <c r="P57" s="17">
        <v>14</v>
      </c>
      <c r="Q57" s="17">
        <v>16</v>
      </c>
      <c r="R57" s="17">
        <v>6.5</v>
      </c>
      <c r="S57" s="17">
        <v>16</v>
      </c>
      <c r="T57" s="17">
        <v>0</v>
      </c>
      <c r="U57" s="18">
        <v>1</v>
      </c>
      <c r="V57" s="20">
        <v>93.5</v>
      </c>
    </row>
    <row r="58" spans="1:22" ht="43.8" thickBot="1">
      <c r="A58" s="23"/>
      <c r="B58" s="23" t="s">
        <v>677</v>
      </c>
      <c r="C58" s="22">
        <v>103259</v>
      </c>
      <c r="D58" s="22">
        <v>24036414</v>
      </c>
      <c r="E58" s="23" t="s">
        <v>678</v>
      </c>
      <c r="F58" s="24" t="s">
        <v>13</v>
      </c>
      <c r="G58" s="23" t="s">
        <v>40</v>
      </c>
      <c r="H58" s="21"/>
      <c r="I58" s="25">
        <v>5</v>
      </c>
      <c r="J58" s="25">
        <v>0</v>
      </c>
      <c r="K58" s="25">
        <v>5</v>
      </c>
      <c r="L58" s="25">
        <v>5</v>
      </c>
      <c r="M58" s="25">
        <v>0</v>
      </c>
      <c r="N58" s="26">
        <v>2</v>
      </c>
      <c r="O58" s="25">
        <v>5</v>
      </c>
      <c r="P58" s="25">
        <v>15</v>
      </c>
      <c r="Q58" s="25">
        <v>16</v>
      </c>
      <c r="R58" s="25">
        <v>9</v>
      </c>
      <c r="S58" s="25">
        <v>2</v>
      </c>
      <c r="T58" s="25">
        <v>21</v>
      </c>
      <c r="U58" s="26">
        <v>9</v>
      </c>
      <c r="V58" s="20">
        <v>94</v>
      </c>
    </row>
    <row r="59" spans="1:22" ht="43.8" thickBot="1">
      <c r="A59" s="14"/>
      <c r="B59" s="14" t="s">
        <v>563</v>
      </c>
      <c r="C59" s="15">
        <v>86824</v>
      </c>
      <c r="D59" s="15">
        <v>17530655</v>
      </c>
      <c r="E59" s="14" t="s">
        <v>564</v>
      </c>
      <c r="F59" s="16" t="s">
        <v>13</v>
      </c>
      <c r="G59" s="14" t="s">
        <v>14</v>
      </c>
      <c r="H59" s="14"/>
      <c r="I59" s="17">
        <v>7</v>
      </c>
      <c r="J59" s="17">
        <v>5</v>
      </c>
      <c r="K59" s="17">
        <v>0</v>
      </c>
      <c r="L59" s="17">
        <v>5</v>
      </c>
      <c r="M59" s="17">
        <v>0</v>
      </c>
      <c r="N59" s="18">
        <v>0</v>
      </c>
      <c r="O59" s="17">
        <v>12</v>
      </c>
      <c r="P59" s="17">
        <v>9</v>
      </c>
      <c r="Q59" s="17">
        <v>16</v>
      </c>
      <c r="R59" s="17">
        <v>6.5</v>
      </c>
      <c r="S59" s="17">
        <v>8</v>
      </c>
      <c r="T59" s="17">
        <v>25</v>
      </c>
      <c r="U59" s="18">
        <v>1</v>
      </c>
      <c r="V59" s="20">
        <v>94.5</v>
      </c>
    </row>
    <row r="60" spans="1:22" ht="43.8" thickBot="1">
      <c r="A60" s="23"/>
      <c r="B60" s="23" t="s">
        <v>169</v>
      </c>
      <c r="C60" s="22">
        <v>83336</v>
      </c>
      <c r="D60" s="22">
        <v>17483548</v>
      </c>
      <c r="E60" s="23" t="s">
        <v>170</v>
      </c>
      <c r="F60" s="24" t="s">
        <v>13</v>
      </c>
      <c r="G60" s="23" t="s">
        <v>27</v>
      </c>
      <c r="H60" s="21"/>
      <c r="I60" s="25">
        <v>7</v>
      </c>
      <c r="J60" s="25">
        <v>5</v>
      </c>
      <c r="K60" s="25">
        <v>5</v>
      </c>
      <c r="L60" s="25">
        <v>5</v>
      </c>
      <c r="M60" s="25">
        <v>5</v>
      </c>
      <c r="N60" s="26">
        <v>7</v>
      </c>
      <c r="O60" s="25">
        <v>4</v>
      </c>
      <c r="P60" s="25">
        <v>16</v>
      </c>
      <c r="Q60" s="25">
        <v>16</v>
      </c>
      <c r="R60" s="25">
        <v>6.5</v>
      </c>
      <c r="S60" s="25">
        <v>2</v>
      </c>
      <c r="T60" s="25">
        <v>15</v>
      </c>
      <c r="U60" s="26">
        <v>2</v>
      </c>
      <c r="V60" s="20">
        <v>95.5</v>
      </c>
    </row>
    <row r="61" spans="1:22" ht="43.8" thickBot="1">
      <c r="A61" s="14"/>
      <c r="B61" s="14" t="s">
        <v>697</v>
      </c>
      <c r="C61" s="15">
        <v>112442</v>
      </c>
      <c r="D61" s="15">
        <v>24162962</v>
      </c>
      <c r="E61" s="14" t="s">
        <v>698</v>
      </c>
      <c r="F61" s="16" t="s">
        <v>13</v>
      </c>
      <c r="G61" s="14" t="s">
        <v>27</v>
      </c>
      <c r="H61" s="14"/>
      <c r="I61" s="17">
        <v>5</v>
      </c>
      <c r="J61" s="17">
        <v>5</v>
      </c>
      <c r="K61" s="17">
        <v>5</v>
      </c>
      <c r="L61" s="17">
        <v>5</v>
      </c>
      <c r="M61" s="17">
        <v>10</v>
      </c>
      <c r="N61" s="18">
        <v>10</v>
      </c>
      <c r="O61" s="17">
        <v>4</v>
      </c>
      <c r="P61" s="17">
        <v>15</v>
      </c>
      <c r="Q61" s="17">
        <v>16</v>
      </c>
      <c r="R61" s="17">
        <v>12.5</v>
      </c>
      <c r="S61" s="17">
        <v>8</v>
      </c>
      <c r="T61" s="17">
        <v>0</v>
      </c>
      <c r="U61" s="18">
        <v>0</v>
      </c>
      <c r="V61" s="20">
        <v>95.5</v>
      </c>
    </row>
    <row r="62" spans="1:22" ht="43.8" thickBot="1">
      <c r="A62" s="23"/>
      <c r="B62" s="23" t="s">
        <v>197</v>
      </c>
      <c r="C62" s="22">
        <v>107176</v>
      </c>
      <c r="D62" s="22">
        <v>24080002</v>
      </c>
      <c r="E62" s="23" t="s">
        <v>198</v>
      </c>
      <c r="F62" s="24" t="s">
        <v>13</v>
      </c>
      <c r="G62" s="23" t="s">
        <v>40</v>
      </c>
      <c r="H62" s="21"/>
      <c r="I62" s="25">
        <v>10</v>
      </c>
      <c r="J62" s="25">
        <v>8</v>
      </c>
      <c r="K62" s="25">
        <v>0</v>
      </c>
      <c r="L62" s="25">
        <v>0</v>
      </c>
      <c r="M62" s="25">
        <v>5</v>
      </c>
      <c r="N62" s="26">
        <v>2</v>
      </c>
      <c r="O62" s="25">
        <v>4</v>
      </c>
      <c r="P62" s="25">
        <v>12</v>
      </c>
      <c r="Q62" s="25">
        <v>14</v>
      </c>
      <c r="R62" s="25">
        <v>6.5</v>
      </c>
      <c r="S62" s="25">
        <v>10</v>
      </c>
      <c r="T62" s="25">
        <v>10</v>
      </c>
      <c r="U62" s="26">
        <v>15</v>
      </c>
      <c r="V62" s="20">
        <v>96.5</v>
      </c>
    </row>
    <row r="63" spans="1:22" ht="43.8" thickBot="1">
      <c r="A63" s="14"/>
      <c r="B63" s="14" t="s">
        <v>207</v>
      </c>
      <c r="C63" s="15">
        <v>109595</v>
      </c>
      <c r="D63" s="15">
        <v>24119714</v>
      </c>
      <c r="E63" s="14" t="s">
        <v>208</v>
      </c>
      <c r="F63" s="16" t="s">
        <v>13</v>
      </c>
      <c r="G63" s="14" t="s">
        <v>14</v>
      </c>
      <c r="H63" s="14"/>
      <c r="I63" s="17">
        <v>5</v>
      </c>
      <c r="J63" s="17">
        <v>5</v>
      </c>
      <c r="K63" s="17">
        <v>0</v>
      </c>
      <c r="L63" s="17">
        <v>5</v>
      </c>
      <c r="M63" s="17">
        <v>0</v>
      </c>
      <c r="N63" s="18">
        <v>2</v>
      </c>
      <c r="O63" s="17">
        <v>16</v>
      </c>
      <c r="P63" s="17">
        <v>14</v>
      </c>
      <c r="Q63" s="17">
        <v>16</v>
      </c>
      <c r="R63" s="17">
        <v>12.5</v>
      </c>
      <c r="S63" s="17">
        <v>8</v>
      </c>
      <c r="T63" s="17">
        <v>10</v>
      </c>
      <c r="U63" s="18">
        <v>5</v>
      </c>
      <c r="V63" s="20">
        <v>98.5</v>
      </c>
    </row>
    <row r="64" spans="1:22" ht="43.8" thickBot="1">
      <c r="A64" s="23"/>
      <c r="B64" s="23" t="s">
        <v>629</v>
      </c>
      <c r="C64" s="22">
        <v>113834</v>
      </c>
      <c r="D64" s="22">
        <v>24182325</v>
      </c>
      <c r="E64" s="23" t="s">
        <v>630</v>
      </c>
      <c r="F64" s="24" t="s">
        <v>13</v>
      </c>
      <c r="G64" s="23" t="s">
        <v>20</v>
      </c>
      <c r="H64" s="21"/>
      <c r="I64" s="25">
        <v>5</v>
      </c>
      <c r="J64" s="25">
        <v>2</v>
      </c>
      <c r="K64" s="25">
        <v>5</v>
      </c>
      <c r="L64" s="25">
        <v>5</v>
      </c>
      <c r="M64" s="25">
        <v>10</v>
      </c>
      <c r="N64" s="26">
        <v>5</v>
      </c>
      <c r="O64" s="25">
        <v>6</v>
      </c>
      <c r="P64" s="25">
        <v>6</v>
      </c>
      <c r="Q64" s="25">
        <v>11</v>
      </c>
      <c r="R64" s="25">
        <v>12</v>
      </c>
      <c r="S64" s="25">
        <v>10</v>
      </c>
      <c r="T64" s="25">
        <v>17</v>
      </c>
      <c r="U64" s="26">
        <v>5</v>
      </c>
      <c r="V64" s="20">
        <v>99</v>
      </c>
    </row>
    <row r="65" spans="1:22" ht="43.8" thickBot="1">
      <c r="A65" s="14"/>
      <c r="B65" s="14" t="s">
        <v>383</v>
      </c>
      <c r="C65" s="15">
        <v>112173</v>
      </c>
      <c r="D65" s="15">
        <v>24158525</v>
      </c>
      <c r="E65" s="14" t="s">
        <v>384</v>
      </c>
      <c r="F65" s="16" t="s">
        <v>13</v>
      </c>
      <c r="G65" s="14" t="s">
        <v>40</v>
      </c>
      <c r="H65" s="14"/>
      <c r="I65" s="17">
        <v>10</v>
      </c>
      <c r="J65" s="17">
        <v>10</v>
      </c>
      <c r="K65" s="17">
        <v>10</v>
      </c>
      <c r="L65" s="17">
        <v>5</v>
      </c>
      <c r="M65" s="17">
        <v>10</v>
      </c>
      <c r="N65" s="18">
        <v>10</v>
      </c>
      <c r="O65" s="17">
        <v>0</v>
      </c>
      <c r="P65" s="17">
        <v>15</v>
      </c>
      <c r="Q65" s="17">
        <v>14</v>
      </c>
      <c r="R65" s="17">
        <v>12.5</v>
      </c>
      <c r="S65" s="17">
        <v>3</v>
      </c>
      <c r="T65" s="17">
        <v>0</v>
      </c>
      <c r="U65" s="18">
        <v>0</v>
      </c>
      <c r="V65" s="20">
        <v>99.5</v>
      </c>
    </row>
    <row r="66" spans="1:22" ht="43.8" thickBot="1">
      <c r="A66" s="23"/>
      <c r="B66" s="23" t="s">
        <v>215</v>
      </c>
      <c r="C66" s="22">
        <v>111477</v>
      </c>
      <c r="D66" s="22">
        <v>24149192</v>
      </c>
      <c r="E66" s="23" t="s">
        <v>216</v>
      </c>
      <c r="F66" s="24" t="s">
        <v>13</v>
      </c>
      <c r="G66" s="23" t="s">
        <v>17</v>
      </c>
      <c r="H66" s="21"/>
      <c r="I66" s="25">
        <v>5</v>
      </c>
      <c r="J66" s="25">
        <v>2</v>
      </c>
      <c r="K66" s="25">
        <v>0</v>
      </c>
      <c r="L66" s="25">
        <v>0</v>
      </c>
      <c r="M66" s="25">
        <v>0</v>
      </c>
      <c r="N66" s="26">
        <v>10</v>
      </c>
      <c r="O66" s="25">
        <v>4</v>
      </c>
      <c r="P66" s="25">
        <v>16</v>
      </c>
      <c r="Q66" s="25">
        <v>15</v>
      </c>
      <c r="R66" s="25">
        <v>13</v>
      </c>
      <c r="S66" s="25">
        <v>9</v>
      </c>
      <c r="T66" s="25">
        <v>25</v>
      </c>
      <c r="U66" s="26">
        <v>1</v>
      </c>
      <c r="V66" s="20">
        <v>100</v>
      </c>
    </row>
    <row r="67" spans="1:22" ht="43.8" thickBot="1">
      <c r="A67" s="14"/>
      <c r="B67" s="14" t="s">
        <v>485</v>
      </c>
      <c r="C67" s="15">
        <v>104454</v>
      </c>
      <c r="D67" s="15">
        <v>24035768</v>
      </c>
      <c r="E67" s="14" t="s">
        <v>486</v>
      </c>
      <c r="F67" s="16" t="s">
        <v>13</v>
      </c>
      <c r="G67" s="14" t="s">
        <v>17</v>
      </c>
      <c r="H67" s="14"/>
      <c r="I67" s="17">
        <v>5</v>
      </c>
      <c r="J67" s="17">
        <v>8</v>
      </c>
      <c r="K67" s="17">
        <v>10</v>
      </c>
      <c r="L67" s="17">
        <v>10</v>
      </c>
      <c r="M67" s="17">
        <v>10</v>
      </c>
      <c r="N67" s="18">
        <v>2</v>
      </c>
      <c r="O67" s="17">
        <v>4</v>
      </c>
      <c r="P67" s="17">
        <v>16</v>
      </c>
      <c r="Q67" s="17">
        <v>10</v>
      </c>
      <c r="R67" s="17">
        <v>7</v>
      </c>
      <c r="S67" s="17">
        <v>8</v>
      </c>
      <c r="T67" s="17">
        <v>7</v>
      </c>
      <c r="U67" s="18">
        <v>3</v>
      </c>
      <c r="V67" s="20">
        <v>100</v>
      </c>
    </row>
    <row r="68" spans="1:22" ht="43.8" thickBot="1">
      <c r="A68" s="23"/>
      <c r="B68" s="23" t="s">
        <v>667</v>
      </c>
      <c r="C68" s="22">
        <v>114085</v>
      </c>
      <c r="D68" s="22">
        <v>24185759</v>
      </c>
      <c r="E68" s="23" t="s">
        <v>668</v>
      </c>
      <c r="F68" s="24" t="s">
        <v>13</v>
      </c>
      <c r="G68" s="23" t="s">
        <v>17</v>
      </c>
      <c r="H68" s="21"/>
      <c r="I68" s="25">
        <v>10</v>
      </c>
      <c r="J68" s="25">
        <v>5</v>
      </c>
      <c r="K68" s="25">
        <v>10</v>
      </c>
      <c r="L68" s="25">
        <v>0</v>
      </c>
      <c r="M68" s="25">
        <v>10</v>
      </c>
      <c r="N68" s="26">
        <v>10</v>
      </c>
      <c r="O68" s="25">
        <v>5</v>
      </c>
      <c r="P68" s="25">
        <v>12</v>
      </c>
      <c r="Q68" s="25">
        <v>16</v>
      </c>
      <c r="R68" s="25">
        <v>13</v>
      </c>
      <c r="S68" s="25">
        <v>4</v>
      </c>
      <c r="T68" s="25">
        <v>6</v>
      </c>
      <c r="U68" s="26">
        <v>0</v>
      </c>
      <c r="V68" s="20">
        <v>101</v>
      </c>
    </row>
    <row r="69" spans="1:22" ht="43.8" thickBot="1">
      <c r="A69" s="14"/>
      <c r="B69" s="14" t="s">
        <v>95</v>
      </c>
      <c r="C69" s="15">
        <v>112935</v>
      </c>
      <c r="D69" s="15">
        <v>24168827</v>
      </c>
      <c r="E69" s="14" t="s">
        <v>96</v>
      </c>
      <c r="F69" s="16" t="s">
        <v>13</v>
      </c>
      <c r="G69" s="14" t="s">
        <v>27</v>
      </c>
      <c r="H69" s="14"/>
      <c r="I69" s="17">
        <v>7</v>
      </c>
      <c r="J69" s="17">
        <v>0</v>
      </c>
      <c r="K69" s="17">
        <v>10</v>
      </c>
      <c r="L69" s="17">
        <v>5</v>
      </c>
      <c r="M69" s="17">
        <v>5</v>
      </c>
      <c r="N69" s="18">
        <v>2</v>
      </c>
      <c r="O69" s="17">
        <v>4</v>
      </c>
      <c r="P69" s="17">
        <v>16</v>
      </c>
      <c r="Q69" s="17">
        <v>16</v>
      </c>
      <c r="R69" s="17">
        <v>6.5</v>
      </c>
      <c r="S69" s="17">
        <v>14</v>
      </c>
      <c r="T69" s="17">
        <v>11</v>
      </c>
      <c r="U69" s="18">
        <v>5</v>
      </c>
      <c r="V69" s="20">
        <v>101.5</v>
      </c>
    </row>
    <row r="70" spans="1:22" ht="43.8" thickBot="1">
      <c r="A70" s="23"/>
      <c r="B70" s="23" t="s">
        <v>30</v>
      </c>
      <c r="C70" s="22">
        <v>107186</v>
      </c>
      <c r="D70" s="22">
        <v>24079883</v>
      </c>
      <c r="E70" s="23" t="s">
        <v>31</v>
      </c>
      <c r="F70" s="24" t="s">
        <v>13</v>
      </c>
      <c r="G70" s="23" t="s">
        <v>17</v>
      </c>
      <c r="H70" s="21"/>
      <c r="I70" s="25">
        <v>10</v>
      </c>
      <c r="J70" s="25">
        <v>5</v>
      </c>
      <c r="K70" s="25">
        <v>0</v>
      </c>
      <c r="L70" s="25">
        <v>0</v>
      </c>
      <c r="M70" s="25">
        <v>10</v>
      </c>
      <c r="N70" s="26">
        <v>0</v>
      </c>
      <c r="O70" s="25">
        <v>6</v>
      </c>
      <c r="P70" s="25">
        <v>11</v>
      </c>
      <c r="Q70" s="25">
        <v>14</v>
      </c>
      <c r="R70" s="25">
        <v>9.5</v>
      </c>
      <c r="S70" s="25">
        <v>8</v>
      </c>
      <c r="T70" s="25">
        <v>25</v>
      </c>
      <c r="U70" s="26">
        <v>4</v>
      </c>
      <c r="V70" s="20">
        <v>102.5</v>
      </c>
    </row>
    <row r="71" spans="1:22" ht="43.8" thickBot="1">
      <c r="A71" s="14"/>
      <c r="B71" s="14" t="s">
        <v>295</v>
      </c>
      <c r="C71" s="15">
        <v>104495</v>
      </c>
      <c r="D71" s="15">
        <v>24036397</v>
      </c>
      <c r="E71" s="14" t="s">
        <v>296</v>
      </c>
      <c r="F71" s="16" t="s">
        <v>13</v>
      </c>
      <c r="G71" s="14" t="s">
        <v>40</v>
      </c>
      <c r="H71" s="14"/>
      <c r="I71" s="17">
        <v>5</v>
      </c>
      <c r="J71" s="17">
        <v>0</v>
      </c>
      <c r="K71" s="17">
        <v>0</v>
      </c>
      <c r="L71" s="17">
        <v>5</v>
      </c>
      <c r="M71" s="17">
        <v>10</v>
      </c>
      <c r="N71" s="18">
        <v>10</v>
      </c>
      <c r="O71" s="17">
        <v>5</v>
      </c>
      <c r="P71" s="17">
        <v>15</v>
      </c>
      <c r="Q71" s="17">
        <v>10</v>
      </c>
      <c r="R71" s="17">
        <v>3.5</v>
      </c>
      <c r="S71" s="17">
        <v>9</v>
      </c>
      <c r="T71" s="17">
        <v>25</v>
      </c>
      <c r="U71" s="18">
        <v>5</v>
      </c>
      <c r="V71" s="20">
        <v>102.5</v>
      </c>
    </row>
    <row r="72" spans="1:22" ht="43.8" thickBot="1">
      <c r="A72" s="23"/>
      <c r="B72" s="23" t="s">
        <v>517</v>
      </c>
      <c r="C72" s="22">
        <v>108653</v>
      </c>
      <c r="D72" s="22">
        <v>24102969</v>
      </c>
      <c r="E72" s="23" t="s">
        <v>518</v>
      </c>
      <c r="F72" s="24" t="s">
        <v>13</v>
      </c>
      <c r="G72" s="23" t="s">
        <v>40</v>
      </c>
      <c r="H72" s="21"/>
      <c r="I72" s="25">
        <v>5</v>
      </c>
      <c r="J72" s="25">
        <v>5</v>
      </c>
      <c r="K72" s="25">
        <v>10</v>
      </c>
      <c r="L72" s="25">
        <v>0</v>
      </c>
      <c r="M72" s="25">
        <v>0</v>
      </c>
      <c r="N72" s="26">
        <v>2</v>
      </c>
      <c r="O72" s="25">
        <v>3</v>
      </c>
      <c r="P72" s="25">
        <v>13</v>
      </c>
      <c r="Q72" s="25">
        <v>16</v>
      </c>
      <c r="R72" s="25">
        <v>6.5</v>
      </c>
      <c r="S72" s="25">
        <v>12</v>
      </c>
      <c r="T72" s="25">
        <v>25</v>
      </c>
      <c r="U72" s="26">
        <v>5</v>
      </c>
      <c r="V72" s="20">
        <v>102.5</v>
      </c>
    </row>
    <row r="73" spans="1:22" ht="43.8" thickBot="1">
      <c r="A73" s="14"/>
      <c r="B73" s="14" t="s">
        <v>433</v>
      </c>
      <c r="C73" s="15">
        <v>104603</v>
      </c>
      <c r="D73" s="15">
        <v>24035972</v>
      </c>
      <c r="E73" s="14" t="s">
        <v>434</v>
      </c>
      <c r="F73" s="16" t="s">
        <v>13</v>
      </c>
      <c r="G73" s="14" t="s">
        <v>14</v>
      </c>
      <c r="H73" s="14"/>
      <c r="I73" s="17">
        <v>5</v>
      </c>
      <c r="J73" s="17">
        <v>5</v>
      </c>
      <c r="K73" s="17">
        <v>0</v>
      </c>
      <c r="L73" s="17">
        <v>5</v>
      </c>
      <c r="M73" s="17">
        <v>0</v>
      </c>
      <c r="N73" s="18">
        <v>2</v>
      </c>
      <c r="O73" s="17">
        <v>5</v>
      </c>
      <c r="P73" s="17">
        <v>16</v>
      </c>
      <c r="Q73" s="17">
        <v>16</v>
      </c>
      <c r="R73" s="17">
        <v>15.5</v>
      </c>
      <c r="S73" s="17">
        <v>4</v>
      </c>
      <c r="T73" s="17">
        <v>25</v>
      </c>
      <c r="U73" s="18">
        <v>4</v>
      </c>
      <c r="V73" s="20">
        <v>102.5</v>
      </c>
    </row>
    <row r="74" spans="1:22" ht="43.8" thickBot="1">
      <c r="A74" s="23"/>
      <c r="B74" s="23" t="s">
        <v>49</v>
      </c>
      <c r="C74" s="22">
        <v>106391</v>
      </c>
      <c r="D74" s="22">
        <v>24065994</v>
      </c>
      <c r="E74" s="23" t="s">
        <v>50</v>
      </c>
      <c r="F74" s="24" t="s">
        <v>13</v>
      </c>
      <c r="G74" s="23" t="s">
        <v>40</v>
      </c>
      <c r="H74" s="21"/>
      <c r="I74" s="25">
        <v>10</v>
      </c>
      <c r="J74" s="25">
        <v>7</v>
      </c>
      <c r="K74" s="25">
        <v>0</v>
      </c>
      <c r="L74" s="25">
        <v>5</v>
      </c>
      <c r="M74" s="25">
        <v>10</v>
      </c>
      <c r="N74" s="26">
        <v>2</v>
      </c>
      <c r="O74" s="25">
        <v>4</v>
      </c>
      <c r="P74" s="25">
        <v>6</v>
      </c>
      <c r="Q74" s="25">
        <v>16</v>
      </c>
      <c r="R74" s="25">
        <v>7</v>
      </c>
      <c r="S74" s="25">
        <v>4</v>
      </c>
      <c r="T74" s="25">
        <v>17</v>
      </c>
      <c r="U74" s="26">
        <v>15</v>
      </c>
      <c r="V74" s="20">
        <v>103</v>
      </c>
    </row>
    <row r="75" spans="1:22" ht="54" thickBot="1">
      <c r="A75" s="14"/>
      <c r="B75" s="14" t="s">
        <v>23</v>
      </c>
      <c r="C75" s="15">
        <v>109578</v>
      </c>
      <c r="D75" s="15">
        <v>24119544</v>
      </c>
      <c r="E75" s="14" t="s">
        <v>24</v>
      </c>
      <c r="F75" s="16" t="s">
        <v>13</v>
      </c>
      <c r="G75" s="14" t="s">
        <v>20</v>
      </c>
      <c r="H75" s="14"/>
      <c r="I75" s="17">
        <v>10</v>
      </c>
      <c r="J75" s="17">
        <v>2</v>
      </c>
      <c r="K75" s="17">
        <v>5</v>
      </c>
      <c r="L75" s="17">
        <v>0</v>
      </c>
      <c r="M75" s="17">
        <v>5</v>
      </c>
      <c r="N75" s="18">
        <v>7</v>
      </c>
      <c r="O75" s="17">
        <v>5</v>
      </c>
      <c r="P75" s="17">
        <v>16</v>
      </c>
      <c r="Q75" s="17">
        <v>16</v>
      </c>
      <c r="R75" s="17">
        <v>10</v>
      </c>
      <c r="S75" s="17">
        <v>8</v>
      </c>
      <c r="T75" s="17">
        <v>18</v>
      </c>
      <c r="U75" s="18">
        <v>1</v>
      </c>
      <c r="V75" s="20">
        <v>103</v>
      </c>
    </row>
    <row r="76" spans="1:22" ht="43.8" thickBot="1">
      <c r="A76" s="23"/>
      <c r="B76" s="23" t="s">
        <v>87</v>
      </c>
      <c r="C76" s="22">
        <v>109783</v>
      </c>
      <c r="D76" s="22">
        <v>24119731</v>
      </c>
      <c r="E76" s="23" t="s">
        <v>88</v>
      </c>
      <c r="F76" s="24" t="s">
        <v>13</v>
      </c>
      <c r="G76" s="23" t="s">
        <v>20</v>
      </c>
      <c r="H76" s="21"/>
      <c r="I76" s="25">
        <v>5</v>
      </c>
      <c r="J76" s="25">
        <v>7</v>
      </c>
      <c r="K76" s="25">
        <v>0</v>
      </c>
      <c r="L76" s="25">
        <v>5</v>
      </c>
      <c r="M76" s="25">
        <v>5</v>
      </c>
      <c r="N76" s="26">
        <v>7</v>
      </c>
      <c r="O76" s="25">
        <v>7</v>
      </c>
      <c r="P76" s="25">
        <v>16</v>
      </c>
      <c r="Q76" s="25">
        <v>8</v>
      </c>
      <c r="R76" s="25">
        <v>7</v>
      </c>
      <c r="S76" s="25">
        <v>6</v>
      </c>
      <c r="T76" s="25">
        <v>25</v>
      </c>
      <c r="U76" s="26">
        <v>5</v>
      </c>
      <c r="V76" s="20">
        <v>103</v>
      </c>
    </row>
    <row r="77" spans="1:22" ht="43.8" thickBot="1">
      <c r="A77" s="14"/>
      <c r="B77" s="14" t="s">
        <v>183</v>
      </c>
      <c r="C77" s="15">
        <v>16434</v>
      </c>
      <c r="D77" s="15">
        <v>17139179</v>
      </c>
      <c r="E77" s="14" t="s">
        <v>184</v>
      </c>
      <c r="F77" s="16" t="s">
        <v>13</v>
      </c>
      <c r="G77" s="14" t="s">
        <v>40</v>
      </c>
      <c r="H77" s="14"/>
      <c r="I77" s="17">
        <v>0</v>
      </c>
      <c r="J77" s="17">
        <v>5</v>
      </c>
      <c r="K77" s="17">
        <v>0</v>
      </c>
      <c r="L77" s="17">
        <v>5</v>
      </c>
      <c r="M77" s="17">
        <v>0</v>
      </c>
      <c r="N77" s="18">
        <v>10</v>
      </c>
      <c r="O77" s="17">
        <v>4</v>
      </c>
      <c r="P77" s="17">
        <v>11</v>
      </c>
      <c r="Q77" s="17">
        <v>13</v>
      </c>
      <c r="R77" s="17">
        <v>12.5</v>
      </c>
      <c r="S77" s="17">
        <v>10</v>
      </c>
      <c r="T77" s="17">
        <v>18</v>
      </c>
      <c r="U77" s="18">
        <v>15</v>
      </c>
      <c r="V77" s="20">
        <v>103.5</v>
      </c>
    </row>
    <row r="78" spans="1:22" ht="43.8" thickBot="1">
      <c r="A78" s="23"/>
      <c r="B78" s="23" t="s">
        <v>597</v>
      </c>
      <c r="C78" s="22">
        <v>85672</v>
      </c>
      <c r="D78" s="22">
        <v>17513978</v>
      </c>
      <c r="E78" s="23" t="s">
        <v>598</v>
      </c>
      <c r="F78" s="24" t="s">
        <v>13</v>
      </c>
      <c r="G78" s="23" t="s">
        <v>27</v>
      </c>
      <c r="H78" s="21"/>
      <c r="I78" s="25">
        <v>10</v>
      </c>
      <c r="J78" s="25">
        <v>5</v>
      </c>
      <c r="K78" s="25">
        <v>5</v>
      </c>
      <c r="L78" s="25">
        <v>0</v>
      </c>
      <c r="M78" s="25">
        <v>5</v>
      </c>
      <c r="N78" s="26">
        <v>7</v>
      </c>
      <c r="O78" s="25">
        <v>15</v>
      </c>
      <c r="P78" s="25">
        <v>16</v>
      </c>
      <c r="Q78" s="25">
        <v>14</v>
      </c>
      <c r="R78" s="25">
        <v>14</v>
      </c>
      <c r="S78" s="25">
        <v>12</v>
      </c>
      <c r="T78" s="25">
        <v>0</v>
      </c>
      <c r="U78" s="26">
        <v>1</v>
      </c>
      <c r="V78" s="20">
        <v>104</v>
      </c>
    </row>
    <row r="79" spans="1:22" ht="43.8" thickBot="1">
      <c r="A79" s="14"/>
      <c r="B79" s="14" t="s">
        <v>63</v>
      </c>
      <c r="C79" s="15">
        <v>103838</v>
      </c>
      <c r="D79" s="15">
        <v>24036006</v>
      </c>
      <c r="E79" s="14" t="s">
        <v>64</v>
      </c>
      <c r="F79" s="16" t="s">
        <v>13</v>
      </c>
      <c r="G79" s="14" t="s">
        <v>17</v>
      </c>
      <c r="H79" s="14"/>
      <c r="I79" s="17">
        <v>10</v>
      </c>
      <c r="J79" s="17">
        <v>0</v>
      </c>
      <c r="K79" s="17">
        <v>0</v>
      </c>
      <c r="L79" s="17">
        <v>5</v>
      </c>
      <c r="M79" s="17">
        <v>5</v>
      </c>
      <c r="N79" s="18">
        <v>7</v>
      </c>
      <c r="O79" s="17">
        <v>7</v>
      </c>
      <c r="P79" s="17">
        <v>15</v>
      </c>
      <c r="Q79" s="17">
        <v>16</v>
      </c>
      <c r="R79" s="17">
        <v>4.5</v>
      </c>
      <c r="S79" s="17">
        <v>16</v>
      </c>
      <c r="T79" s="17">
        <v>18</v>
      </c>
      <c r="U79" s="18">
        <v>1</v>
      </c>
      <c r="V79" s="20">
        <v>104.5</v>
      </c>
    </row>
    <row r="80" spans="1:22" ht="43.8" thickBot="1">
      <c r="A80" s="23"/>
      <c r="B80" s="23" t="s">
        <v>105</v>
      </c>
      <c r="C80" s="22">
        <v>113497</v>
      </c>
      <c r="D80" s="22">
        <v>24176528</v>
      </c>
      <c r="E80" s="23" t="s">
        <v>106</v>
      </c>
      <c r="F80" s="24" t="s">
        <v>13</v>
      </c>
      <c r="G80" s="23" t="s">
        <v>14</v>
      </c>
      <c r="H80" s="21"/>
      <c r="I80" s="25">
        <v>5</v>
      </c>
      <c r="J80" s="25">
        <v>0</v>
      </c>
      <c r="K80" s="25">
        <v>0</v>
      </c>
      <c r="L80" s="25">
        <v>5</v>
      </c>
      <c r="M80" s="25">
        <v>10</v>
      </c>
      <c r="N80" s="26">
        <v>7</v>
      </c>
      <c r="O80" s="25">
        <v>16</v>
      </c>
      <c r="P80" s="25">
        <v>16</v>
      </c>
      <c r="Q80" s="25">
        <v>16</v>
      </c>
      <c r="R80" s="25">
        <v>6.5</v>
      </c>
      <c r="S80" s="25">
        <v>7</v>
      </c>
      <c r="T80" s="25">
        <v>15</v>
      </c>
      <c r="U80" s="26">
        <v>1</v>
      </c>
      <c r="V80" s="20">
        <v>104.5</v>
      </c>
    </row>
    <row r="81" spans="1:22" ht="43.8" thickBot="1">
      <c r="A81" s="14"/>
      <c r="B81" s="14" t="s">
        <v>537</v>
      </c>
      <c r="C81" s="15">
        <v>112217</v>
      </c>
      <c r="D81" s="15">
        <v>24158440</v>
      </c>
      <c r="E81" s="14" t="s">
        <v>538</v>
      </c>
      <c r="F81" s="16" t="s">
        <v>13</v>
      </c>
      <c r="G81" s="14" t="s">
        <v>14</v>
      </c>
      <c r="H81" s="14"/>
      <c r="I81" s="17">
        <v>10</v>
      </c>
      <c r="J81" s="17">
        <v>10</v>
      </c>
      <c r="K81" s="17">
        <v>10</v>
      </c>
      <c r="L81" s="17">
        <v>5</v>
      </c>
      <c r="M81" s="17">
        <v>0</v>
      </c>
      <c r="N81" s="18">
        <v>10</v>
      </c>
      <c r="O81" s="17">
        <v>5</v>
      </c>
      <c r="P81" s="17">
        <v>16</v>
      </c>
      <c r="Q81" s="17">
        <v>16</v>
      </c>
      <c r="R81" s="17">
        <v>14</v>
      </c>
      <c r="S81" s="17">
        <v>7</v>
      </c>
      <c r="T81" s="17">
        <v>0</v>
      </c>
      <c r="U81" s="18">
        <v>2</v>
      </c>
      <c r="V81" s="20">
        <v>105</v>
      </c>
    </row>
    <row r="82" spans="1:22" ht="43.8" thickBot="1">
      <c r="A82" s="23"/>
      <c r="B82" s="23" t="s">
        <v>177</v>
      </c>
      <c r="C82" s="22">
        <v>103445</v>
      </c>
      <c r="D82" s="22">
        <v>24037451</v>
      </c>
      <c r="E82" s="23" t="s">
        <v>178</v>
      </c>
      <c r="F82" s="24" t="s">
        <v>13</v>
      </c>
      <c r="G82" s="23" t="s">
        <v>27</v>
      </c>
      <c r="H82" s="21"/>
      <c r="I82" s="25">
        <v>5</v>
      </c>
      <c r="J82" s="25">
        <v>5</v>
      </c>
      <c r="K82" s="25">
        <v>0</v>
      </c>
      <c r="L82" s="25">
        <v>5</v>
      </c>
      <c r="M82" s="25">
        <v>0</v>
      </c>
      <c r="N82" s="26">
        <v>5</v>
      </c>
      <c r="O82" s="25">
        <v>4</v>
      </c>
      <c r="P82" s="25">
        <v>16</v>
      </c>
      <c r="Q82" s="25">
        <v>16</v>
      </c>
      <c r="R82" s="25">
        <v>14.5</v>
      </c>
      <c r="S82" s="25">
        <v>5</v>
      </c>
      <c r="T82" s="25">
        <v>25</v>
      </c>
      <c r="U82" s="26">
        <v>5</v>
      </c>
      <c r="V82" s="20">
        <v>105.5</v>
      </c>
    </row>
    <row r="83" spans="1:22" ht="43.8" thickBot="1">
      <c r="A83" s="14"/>
      <c r="B83" s="14" t="s">
        <v>171</v>
      </c>
      <c r="C83" s="15">
        <v>113591</v>
      </c>
      <c r="D83" s="15">
        <v>24178177</v>
      </c>
      <c r="E83" s="14" t="s">
        <v>172</v>
      </c>
      <c r="F83" s="16" t="s">
        <v>13</v>
      </c>
      <c r="G83" s="14" t="s">
        <v>20</v>
      </c>
      <c r="H83" s="14"/>
      <c r="I83" s="17">
        <v>5</v>
      </c>
      <c r="J83" s="17">
        <v>5</v>
      </c>
      <c r="K83" s="17">
        <v>5</v>
      </c>
      <c r="L83" s="17">
        <v>5</v>
      </c>
      <c r="M83" s="17">
        <v>5</v>
      </c>
      <c r="N83" s="18">
        <v>5</v>
      </c>
      <c r="O83" s="17">
        <v>5</v>
      </c>
      <c r="P83" s="17">
        <v>14</v>
      </c>
      <c r="Q83" s="17">
        <v>15</v>
      </c>
      <c r="R83" s="17">
        <v>6.5</v>
      </c>
      <c r="S83" s="17">
        <v>9</v>
      </c>
      <c r="T83" s="17">
        <v>21</v>
      </c>
      <c r="U83" s="18">
        <v>5</v>
      </c>
      <c r="V83" s="20">
        <v>105.5</v>
      </c>
    </row>
    <row r="84" spans="1:22" ht="43.8" thickBot="1">
      <c r="A84" s="23"/>
      <c r="B84" s="23" t="s">
        <v>36</v>
      </c>
      <c r="C84" s="22">
        <v>113866</v>
      </c>
      <c r="D84" s="22">
        <v>24182002</v>
      </c>
      <c r="E84" s="23" t="s">
        <v>37</v>
      </c>
      <c r="F84" s="24" t="s">
        <v>13</v>
      </c>
      <c r="G84" s="23" t="s">
        <v>17</v>
      </c>
      <c r="H84" s="21"/>
      <c r="I84" s="25">
        <v>10</v>
      </c>
      <c r="J84" s="25">
        <v>10</v>
      </c>
      <c r="K84" s="25">
        <v>0</v>
      </c>
      <c r="L84" s="25">
        <v>5</v>
      </c>
      <c r="M84" s="25">
        <v>0</v>
      </c>
      <c r="N84" s="26">
        <v>2</v>
      </c>
      <c r="O84" s="25">
        <v>11</v>
      </c>
      <c r="P84" s="25">
        <v>16</v>
      </c>
      <c r="Q84" s="25">
        <v>14</v>
      </c>
      <c r="R84" s="25">
        <v>16</v>
      </c>
      <c r="S84" s="25">
        <v>2</v>
      </c>
      <c r="T84" s="25">
        <v>18</v>
      </c>
      <c r="U84" s="26">
        <v>2</v>
      </c>
      <c r="V84" s="20">
        <v>106</v>
      </c>
    </row>
    <row r="85" spans="1:22" ht="43.8" thickBot="1">
      <c r="A85" s="14"/>
      <c r="B85" s="14" t="s">
        <v>175</v>
      </c>
      <c r="C85" s="15">
        <v>107348</v>
      </c>
      <c r="D85" s="15">
        <v>24082467</v>
      </c>
      <c r="E85" s="14" t="s">
        <v>176</v>
      </c>
      <c r="F85" s="16" t="s">
        <v>13</v>
      </c>
      <c r="G85" s="14" t="s">
        <v>20</v>
      </c>
      <c r="H85" s="14"/>
      <c r="I85" s="17">
        <v>5</v>
      </c>
      <c r="J85" s="17">
        <v>5</v>
      </c>
      <c r="K85" s="17">
        <v>10</v>
      </c>
      <c r="L85" s="17">
        <v>0</v>
      </c>
      <c r="M85" s="17">
        <v>5</v>
      </c>
      <c r="N85" s="18">
        <v>5</v>
      </c>
      <c r="O85" s="17">
        <v>7</v>
      </c>
      <c r="P85" s="17">
        <v>10</v>
      </c>
      <c r="Q85" s="17">
        <v>14</v>
      </c>
      <c r="R85" s="17">
        <v>6</v>
      </c>
      <c r="S85" s="17">
        <v>10</v>
      </c>
      <c r="T85" s="17">
        <v>24</v>
      </c>
      <c r="U85" s="18">
        <v>5</v>
      </c>
      <c r="V85" s="20">
        <v>106</v>
      </c>
    </row>
    <row r="86" spans="1:22" ht="43.8" thickBot="1">
      <c r="A86" s="23"/>
      <c r="B86" s="23" t="s">
        <v>611</v>
      </c>
      <c r="C86" s="22">
        <v>109626</v>
      </c>
      <c r="D86" s="22">
        <v>24117980</v>
      </c>
      <c r="E86" s="23" t="s">
        <v>612</v>
      </c>
      <c r="F86" s="24" t="s">
        <v>13</v>
      </c>
      <c r="G86" s="23" t="s">
        <v>27</v>
      </c>
      <c r="H86" s="21"/>
      <c r="I86" s="25">
        <v>5</v>
      </c>
      <c r="J86" s="25">
        <v>7</v>
      </c>
      <c r="K86" s="25">
        <v>0</v>
      </c>
      <c r="L86" s="25">
        <v>5</v>
      </c>
      <c r="M86" s="25">
        <v>0</v>
      </c>
      <c r="N86" s="26">
        <v>2</v>
      </c>
      <c r="O86" s="25">
        <v>7</v>
      </c>
      <c r="P86" s="25">
        <v>15</v>
      </c>
      <c r="Q86" s="25">
        <v>14</v>
      </c>
      <c r="R86" s="25">
        <v>10</v>
      </c>
      <c r="S86" s="25">
        <v>16</v>
      </c>
      <c r="T86" s="25">
        <v>25</v>
      </c>
      <c r="U86" s="26">
        <v>1</v>
      </c>
      <c r="V86" s="20">
        <v>107</v>
      </c>
    </row>
    <row r="87" spans="1:22" ht="43.8" thickBot="1">
      <c r="A87" s="14"/>
      <c r="B87" s="14" t="s">
        <v>637</v>
      </c>
      <c r="C87" s="15">
        <v>65383</v>
      </c>
      <c r="D87" s="15">
        <v>17333914</v>
      </c>
      <c r="E87" s="14" t="s">
        <v>638</v>
      </c>
      <c r="F87" s="16" t="s">
        <v>13</v>
      </c>
      <c r="G87" s="14" t="s">
        <v>40</v>
      </c>
      <c r="H87" s="14"/>
      <c r="I87" s="17">
        <v>10</v>
      </c>
      <c r="J87" s="17">
        <v>7</v>
      </c>
      <c r="K87" s="17">
        <v>5</v>
      </c>
      <c r="L87" s="17">
        <v>0</v>
      </c>
      <c r="M87" s="17">
        <v>0</v>
      </c>
      <c r="N87" s="18">
        <v>10</v>
      </c>
      <c r="O87" s="17">
        <v>4</v>
      </c>
      <c r="P87" s="17">
        <v>16</v>
      </c>
      <c r="Q87" s="17">
        <v>16</v>
      </c>
      <c r="R87" s="17">
        <v>10</v>
      </c>
      <c r="S87" s="17">
        <v>10</v>
      </c>
      <c r="T87" s="17">
        <v>4</v>
      </c>
      <c r="U87" s="18">
        <v>15</v>
      </c>
      <c r="V87" s="20">
        <v>107</v>
      </c>
    </row>
    <row r="88" spans="1:22" ht="43.8" thickBot="1">
      <c r="A88" s="23"/>
      <c r="B88" s="23" t="s">
        <v>287</v>
      </c>
      <c r="C88" s="22">
        <v>109970</v>
      </c>
      <c r="D88" s="22">
        <v>24122604</v>
      </c>
      <c r="E88" s="23" t="s">
        <v>288</v>
      </c>
      <c r="F88" s="24" t="s">
        <v>13</v>
      </c>
      <c r="G88" s="23" t="s">
        <v>27</v>
      </c>
      <c r="H88" s="21"/>
      <c r="I88" s="25">
        <v>5</v>
      </c>
      <c r="J88" s="25">
        <v>5</v>
      </c>
      <c r="K88" s="25">
        <v>0</v>
      </c>
      <c r="L88" s="25">
        <v>5</v>
      </c>
      <c r="M88" s="25">
        <v>0</v>
      </c>
      <c r="N88" s="26">
        <v>0</v>
      </c>
      <c r="O88" s="25">
        <v>7</v>
      </c>
      <c r="P88" s="25">
        <v>14</v>
      </c>
      <c r="Q88" s="25">
        <v>14</v>
      </c>
      <c r="R88" s="25">
        <v>15.5</v>
      </c>
      <c r="S88" s="25">
        <v>7</v>
      </c>
      <c r="T88" s="25">
        <v>25</v>
      </c>
      <c r="U88" s="26">
        <v>10</v>
      </c>
      <c r="V88" s="20">
        <v>107.5</v>
      </c>
    </row>
    <row r="89" spans="1:22" ht="43.8" thickBot="1">
      <c r="A89" s="14"/>
      <c r="B89" s="14" t="s">
        <v>399</v>
      </c>
      <c r="C89" s="15">
        <v>109960</v>
      </c>
      <c r="D89" s="15">
        <v>24122587</v>
      </c>
      <c r="E89" s="14" t="s">
        <v>400</v>
      </c>
      <c r="F89" s="16" t="s">
        <v>13</v>
      </c>
      <c r="G89" s="14" t="s">
        <v>27</v>
      </c>
      <c r="H89" s="14"/>
      <c r="I89" s="17">
        <v>0</v>
      </c>
      <c r="J89" s="17">
        <v>5</v>
      </c>
      <c r="K89" s="17">
        <v>5</v>
      </c>
      <c r="L89" s="17">
        <v>5</v>
      </c>
      <c r="M89" s="17">
        <v>5</v>
      </c>
      <c r="N89" s="18">
        <v>2</v>
      </c>
      <c r="O89" s="17">
        <v>6</v>
      </c>
      <c r="P89" s="17">
        <v>15</v>
      </c>
      <c r="Q89" s="17">
        <v>13</v>
      </c>
      <c r="R89" s="17">
        <v>9.5</v>
      </c>
      <c r="S89" s="17">
        <v>12</v>
      </c>
      <c r="T89" s="17">
        <v>25</v>
      </c>
      <c r="U89" s="18">
        <v>5</v>
      </c>
      <c r="V89" s="20">
        <v>107.5</v>
      </c>
    </row>
    <row r="90" spans="1:22" ht="43.8" thickBot="1">
      <c r="A90" s="23"/>
      <c r="B90" s="23" t="s">
        <v>43</v>
      </c>
      <c r="C90" s="22">
        <v>109904</v>
      </c>
      <c r="D90" s="22">
        <v>24122961</v>
      </c>
      <c r="E90" s="23" t="s">
        <v>44</v>
      </c>
      <c r="F90" s="24" t="s">
        <v>13</v>
      </c>
      <c r="G90" s="23" t="s">
        <v>40</v>
      </c>
      <c r="H90" s="21"/>
      <c r="I90" s="25">
        <v>10</v>
      </c>
      <c r="J90" s="25">
        <v>5</v>
      </c>
      <c r="K90" s="25">
        <v>10</v>
      </c>
      <c r="L90" s="25">
        <v>5</v>
      </c>
      <c r="M90" s="25">
        <v>5</v>
      </c>
      <c r="N90" s="26">
        <v>0</v>
      </c>
      <c r="O90" s="25">
        <v>10</v>
      </c>
      <c r="P90" s="25">
        <v>15</v>
      </c>
      <c r="Q90" s="25">
        <v>16</v>
      </c>
      <c r="R90" s="25">
        <v>15.5</v>
      </c>
      <c r="S90" s="25">
        <v>6</v>
      </c>
      <c r="T90" s="25">
        <v>10</v>
      </c>
      <c r="U90" s="26">
        <v>0</v>
      </c>
      <c r="V90" s="20">
        <v>107.5</v>
      </c>
    </row>
    <row r="91" spans="1:22" ht="43.8" thickBot="1">
      <c r="A91" s="14"/>
      <c r="B91" s="14" t="s">
        <v>159</v>
      </c>
      <c r="C91" s="15">
        <v>112198</v>
      </c>
      <c r="D91" s="15">
        <v>24158542</v>
      </c>
      <c r="E91" s="14" t="s">
        <v>160</v>
      </c>
      <c r="F91" s="16" t="s">
        <v>13</v>
      </c>
      <c r="G91" s="14" t="s">
        <v>14</v>
      </c>
      <c r="H91" s="14"/>
      <c r="I91" s="17">
        <v>10</v>
      </c>
      <c r="J91" s="17">
        <v>5</v>
      </c>
      <c r="K91" s="17">
        <v>0</v>
      </c>
      <c r="L91" s="17">
        <v>10</v>
      </c>
      <c r="M91" s="17">
        <v>10</v>
      </c>
      <c r="N91" s="18">
        <v>3</v>
      </c>
      <c r="O91" s="17">
        <v>4</v>
      </c>
      <c r="P91" s="17">
        <v>16</v>
      </c>
      <c r="Q91" s="17">
        <v>16</v>
      </c>
      <c r="R91" s="17">
        <v>12.5</v>
      </c>
      <c r="S91" s="17">
        <v>12</v>
      </c>
      <c r="T91" s="17">
        <v>8</v>
      </c>
      <c r="U91" s="18">
        <v>1</v>
      </c>
      <c r="V91" s="20">
        <v>107.5</v>
      </c>
    </row>
    <row r="92" spans="1:22" ht="43.8" thickBot="1">
      <c r="A92" s="23"/>
      <c r="B92" s="23" t="s">
        <v>291</v>
      </c>
      <c r="C92" s="22">
        <v>107655</v>
      </c>
      <c r="D92" s="22">
        <v>24086360</v>
      </c>
      <c r="E92" s="23" t="s">
        <v>292</v>
      </c>
      <c r="F92" s="24" t="s">
        <v>13</v>
      </c>
      <c r="G92" s="23" t="s">
        <v>14</v>
      </c>
      <c r="H92" s="21"/>
      <c r="I92" s="25">
        <v>5</v>
      </c>
      <c r="J92" s="25">
        <v>9</v>
      </c>
      <c r="K92" s="25">
        <v>0</v>
      </c>
      <c r="L92" s="25">
        <v>5</v>
      </c>
      <c r="M92" s="25">
        <v>5</v>
      </c>
      <c r="N92" s="26">
        <v>10</v>
      </c>
      <c r="O92" s="25">
        <v>6</v>
      </c>
      <c r="P92" s="25">
        <v>16</v>
      </c>
      <c r="Q92" s="25">
        <v>16</v>
      </c>
      <c r="R92" s="25">
        <v>14</v>
      </c>
      <c r="S92" s="25">
        <v>13</v>
      </c>
      <c r="T92" s="25">
        <v>4</v>
      </c>
      <c r="U92" s="26">
        <v>5</v>
      </c>
      <c r="V92" s="20">
        <v>108</v>
      </c>
    </row>
    <row r="93" spans="1:22" ht="43.8" thickBot="1">
      <c r="A93" s="14"/>
      <c r="B93" s="14" t="s">
        <v>559</v>
      </c>
      <c r="C93" s="15">
        <v>109495</v>
      </c>
      <c r="D93" s="15">
        <v>24115838</v>
      </c>
      <c r="E93" s="14" t="s">
        <v>560</v>
      </c>
      <c r="F93" s="16" t="s">
        <v>13</v>
      </c>
      <c r="G93" s="14" t="s">
        <v>17</v>
      </c>
      <c r="H93" s="14"/>
      <c r="I93" s="17">
        <v>7</v>
      </c>
      <c r="J93" s="17">
        <v>0</v>
      </c>
      <c r="K93" s="17">
        <v>5</v>
      </c>
      <c r="L93" s="17">
        <v>5</v>
      </c>
      <c r="M93" s="17">
        <v>5</v>
      </c>
      <c r="N93" s="18">
        <v>7</v>
      </c>
      <c r="O93" s="17">
        <v>5</v>
      </c>
      <c r="P93" s="17">
        <v>10</v>
      </c>
      <c r="Q93" s="17">
        <v>14</v>
      </c>
      <c r="R93" s="17">
        <v>12.5</v>
      </c>
      <c r="S93" s="17">
        <v>8</v>
      </c>
      <c r="T93" s="17">
        <v>25</v>
      </c>
      <c r="U93" s="18">
        <v>5</v>
      </c>
      <c r="V93" s="20">
        <v>108.5</v>
      </c>
    </row>
    <row r="94" spans="1:22" ht="43.8" thickBot="1">
      <c r="A94" s="23"/>
      <c r="B94" s="23" t="s">
        <v>713</v>
      </c>
      <c r="C94" s="22">
        <v>112348</v>
      </c>
      <c r="D94" s="22">
        <v>24161160</v>
      </c>
      <c r="E94" s="23" t="s">
        <v>714</v>
      </c>
      <c r="F94" s="24" t="s">
        <v>13</v>
      </c>
      <c r="G94" s="23" t="s">
        <v>27</v>
      </c>
      <c r="H94" s="21"/>
      <c r="I94" s="25">
        <v>10</v>
      </c>
      <c r="J94" s="25">
        <v>7</v>
      </c>
      <c r="K94" s="25">
        <v>5</v>
      </c>
      <c r="L94" s="25">
        <v>5</v>
      </c>
      <c r="M94" s="25">
        <v>10</v>
      </c>
      <c r="N94" s="26">
        <v>10</v>
      </c>
      <c r="O94" s="25">
        <v>8</v>
      </c>
      <c r="P94" s="25">
        <v>9</v>
      </c>
      <c r="Q94" s="25">
        <v>14</v>
      </c>
      <c r="R94" s="25">
        <v>10.5</v>
      </c>
      <c r="S94" s="25">
        <v>16</v>
      </c>
      <c r="T94" s="25">
        <v>2</v>
      </c>
      <c r="U94" s="26">
        <v>2</v>
      </c>
      <c r="V94" s="20">
        <v>108.5</v>
      </c>
    </row>
    <row r="95" spans="1:22" ht="43.8" thickBot="1">
      <c r="A95" s="14"/>
      <c r="B95" s="14" t="s">
        <v>113</v>
      </c>
      <c r="C95" s="15">
        <v>112605</v>
      </c>
      <c r="D95" s="15">
        <v>24165189</v>
      </c>
      <c r="E95" s="14" t="s">
        <v>114</v>
      </c>
      <c r="F95" s="16" t="s">
        <v>13</v>
      </c>
      <c r="G95" s="14" t="s">
        <v>14</v>
      </c>
      <c r="H95" s="14"/>
      <c r="I95" s="17">
        <v>10</v>
      </c>
      <c r="J95" s="17">
        <v>2</v>
      </c>
      <c r="K95" s="17">
        <v>10</v>
      </c>
      <c r="L95" s="17">
        <v>0</v>
      </c>
      <c r="M95" s="17">
        <v>10</v>
      </c>
      <c r="N95" s="18">
        <v>10</v>
      </c>
      <c r="O95" s="17">
        <v>5</v>
      </c>
      <c r="P95" s="17">
        <v>15</v>
      </c>
      <c r="Q95" s="17">
        <v>16</v>
      </c>
      <c r="R95" s="17">
        <v>12.5</v>
      </c>
      <c r="S95" s="17">
        <v>6</v>
      </c>
      <c r="T95" s="17">
        <v>8</v>
      </c>
      <c r="U95" s="18">
        <v>4</v>
      </c>
      <c r="V95" s="20">
        <v>108.5</v>
      </c>
    </row>
    <row r="96" spans="1:22" ht="43.8" thickBot="1">
      <c r="A96" s="23"/>
      <c r="B96" s="23" t="s">
        <v>465</v>
      </c>
      <c r="C96" s="22">
        <v>111060</v>
      </c>
      <c r="D96" s="22">
        <v>24142171</v>
      </c>
      <c r="E96" s="23" t="s">
        <v>466</v>
      </c>
      <c r="F96" s="24" t="s">
        <v>13</v>
      </c>
      <c r="G96" s="23" t="s">
        <v>27</v>
      </c>
      <c r="H96" s="21"/>
      <c r="I96" s="25">
        <v>10</v>
      </c>
      <c r="J96" s="25">
        <v>5</v>
      </c>
      <c r="K96" s="25">
        <v>5</v>
      </c>
      <c r="L96" s="25">
        <v>0</v>
      </c>
      <c r="M96" s="25">
        <v>10</v>
      </c>
      <c r="N96" s="26">
        <v>10</v>
      </c>
      <c r="O96" s="25">
        <v>0</v>
      </c>
      <c r="P96" s="25">
        <v>16</v>
      </c>
      <c r="Q96" s="25">
        <v>16</v>
      </c>
      <c r="R96" s="25">
        <v>13</v>
      </c>
      <c r="S96" s="25">
        <v>4</v>
      </c>
      <c r="T96" s="25">
        <v>15</v>
      </c>
      <c r="U96" s="26">
        <v>5</v>
      </c>
      <c r="V96" s="20">
        <v>109</v>
      </c>
    </row>
    <row r="97" spans="1:22" ht="43.8" thickBot="1">
      <c r="A97" s="14"/>
      <c r="B97" s="14" t="s">
        <v>69</v>
      </c>
      <c r="C97" s="15">
        <v>104189</v>
      </c>
      <c r="D97" s="15">
        <v>24035955</v>
      </c>
      <c r="E97" s="14" t="s">
        <v>70</v>
      </c>
      <c r="F97" s="16" t="s">
        <v>13</v>
      </c>
      <c r="G97" s="14" t="s">
        <v>17</v>
      </c>
      <c r="H97" s="14"/>
      <c r="I97" s="17">
        <v>5</v>
      </c>
      <c r="J97" s="17">
        <v>5</v>
      </c>
      <c r="K97" s="17">
        <v>5</v>
      </c>
      <c r="L97" s="17">
        <v>0</v>
      </c>
      <c r="M97" s="17">
        <v>5</v>
      </c>
      <c r="N97" s="18">
        <v>4</v>
      </c>
      <c r="O97" s="17">
        <v>9</v>
      </c>
      <c r="P97" s="17">
        <v>15</v>
      </c>
      <c r="Q97" s="17">
        <v>16</v>
      </c>
      <c r="R97" s="17">
        <v>9.5</v>
      </c>
      <c r="S97" s="17">
        <v>13</v>
      </c>
      <c r="T97" s="17">
        <v>18</v>
      </c>
      <c r="U97" s="18">
        <v>5</v>
      </c>
      <c r="V97" s="20">
        <v>109.5</v>
      </c>
    </row>
    <row r="98" spans="1:22" ht="43.8" thickBot="1">
      <c r="A98" s="23"/>
      <c r="B98" s="23" t="s">
        <v>389</v>
      </c>
      <c r="C98" s="22">
        <v>108273</v>
      </c>
      <c r="D98" s="22">
        <v>24096985</v>
      </c>
      <c r="E98" s="23" t="s">
        <v>390</v>
      </c>
      <c r="F98" s="24" t="s">
        <v>13</v>
      </c>
      <c r="G98" s="23" t="s">
        <v>17</v>
      </c>
      <c r="H98" s="21"/>
      <c r="I98" s="25">
        <v>7</v>
      </c>
      <c r="J98" s="25">
        <v>5</v>
      </c>
      <c r="K98" s="25">
        <v>5</v>
      </c>
      <c r="L98" s="25">
        <v>5</v>
      </c>
      <c r="M98" s="25">
        <v>5</v>
      </c>
      <c r="N98" s="26">
        <v>10</v>
      </c>
      <c r="O98" s="25">
        <v>4</v>
      </c>
      <c r="P98" s="25">
        <v>16</v>
      </c>
      <c r="Q98" s="25">
        <v>13</v>
      </c>
      <c r="R98" s="25">
        <v>13</v>
      </c>
      <c r="S98" s="25">
        <v>16</v>
      </c>
      <c r="T98" s="25">
        <v>8</v>
      </c>
      <c r="U98" s="26">
        <v>3</v>
      </c>
      <c r="V98" s="20">
        <v>110</v>
      </c>
    </row>
    <row r="99" spans="1:22" ht="43.8" thickBot="1">
      <c r="A99" s="14"/>
      <c r="B99" s="14" t="s">
        <v>67</v>
      </c>
      <c r="C99" s="15">
        <v>109605</v>
      </c>
      <c r="D99" s="15">
        <v>24119765</v>
      </c>
      <c r="E99" s="14" t="s">
        <v>68</v>
      </c>
      <c r="F99" s="16" t="s">
        <v>13</v>
      </c>
      <c r="G99" s="14" t="s">
        <v>14</v>
      </c>
      <c r="H99" s="14"/>
      <c r="I99" s="17">
        <v>10</v>
      </c>
      <c r="J99" s="17">
        <v>5</v>
      </c>
      <c r="K99" s="17">
        <v>10</v>
      </c>
      <c r="L99" s="17">
        <v>0</v>
      </c>
      <c r="M99" s="17">
        <v>5</v>
      </c>
      <c r="N99" s="18">
        <v>0</v>
      </c>
      <c r="O99" s="17">
        <v>4</v>
      </c>
      <c r="P99" s="17">
        <v>16</v>
      </c>
      <c r="Q99" s="17">
        <v>16</v>
      </c>
      <c r="R99" s="17">
        <v>13</v>
      </c>
      <c r="S99" s="17">
        <v>10</v>
      </c>
      <c r="T99" s="17">
        <v>6</v>
      </c>
      <c r="U99" s="18">
        <v>15</v>
      </c>
      <c r="V99" s="20">
        <v>110</v>
      </c>
    </row>
    <row r="100" spans="1:22" ht="43.8" thickBot="1">
      <c r="A100" s="23"/>
      <c r="B100" s="23" t="s">
        <v>413</v>
      </c>
      <c r="C100" s="22">
        <v>107934</v>
      </c>
      <c r="D100" s="22">
        <v>24092786</v>
      </c>
      <c r="E100" s="23" t="s">
        <v>414</v>
      </c>
      <c r="F100" s="24" t="s">
        <v>13</v>
      </c>
      <c r="G100" s="23" t="s">
        <v>17</v>
      </c>
      <c r="H100" s="21"/>
      <c r="I100" s="25">
        <v>5</v>
      </c>
      <c r="J100" s="25">
        <v>5</v>
      </c>
      <c r="K100" s="25">
        <v>0</v>
      </c>
      <c r="L100" s="25">
        <v>5</v>
      </c>
      <c r="M100" s="25">
        <v>10</v>
      </c>
      <c r="N100" s="26">
        <v>2</v>
      </c>
      <c r="O100" s="25">
        <v>4</v>
      </c>
      <c r="P100" s="25">
        <v>16</v>
      </c>
      <c r="Q100" s="25">
        <v>15</v>
      </c>
      <c r="R100" s="25">
        <v>15.5</v>
      </c>
      <c r="S100" s="25">
        <v>8</v>
      </c>
      <c r="T100" s="25">
        <v>20</v>
      </c>
      <c r="U100" s="26">
        <v>5</v>
      </c>
      <c r="V100" s="20">
        <v>110.5</v>
      </c>
    </row>
    <row r="101" spans="1:22" ht="43.8" thickBot="1">
      <c r="A101" s="14"/>
      <c r="B101" s="14" t="s">
        <v>125</v>
      </c>
      <c r="C101" s="15">
        <v>109621</v>
      </c>
      <c r="D101" s="15">
        <v>24118082</v>
      </c>
      <c r="E101" s="14" t="s">
        <v>126</v>
      </c>
      <c r="F101" s="16" t="s">
        <v>13</v>
      </c>
      <c r="G101" s="14" t="s">
        <v>20</v>
      </c>
      <c r="H101" s="14"/>
      <c r="I101" s="17">
        <v>5</v>
      </c>
      <c r="J101" s="17">
        <v>2</v>
      </c>
      <c r="K101" s="17">
        <v>0</v>
      </c>
      <c r="L101" s="17">
        <v>5</v>
      </c>
      <c r="M101" s="17">
        <v>0</v>
      </c>
      <c r="N101" s="18">
        <v>2</v>
      </c>
      <c r="O101" s="17">
        <v>7</v>
      </c>
      <c r="P101" s="17">
        <v>12</v>
      </c>
      <c r="Q101" s="17">
        <v>16</v>
      </c>
      <c r="R101" s="17">
        <v>15.5</v>
      </c>
      <c r="S101" s="17">
        <v>16</v>
      </c>
      <c r="T101" s="17">
        <v>25</v>
      </c>
      <c r="U101" s="18">
        <v>5</v>
      </c>
      <c r="V101" s="20">
        <v>110.5</v>
      </c>
    </row>
    <row r="102" spans="1:22" ht="43.8" thickBot="1">
      <c r="A102" s="23"/>
      <c r="B102" s="23" t="s">
        <v>473</v>
      </c>
      <c r="C102" s="22">
        <v>113483</v>
      </c>
      <c r="D102" s="22">
        <v>24176545</v>
      </c>
      <c r="E102" s="23" t="s">
        <v>474</v>
      </c>
      <c r="F102" s="24" t="s">
        <v>13</v>
      </c>
      <c r="G102" s="23" t="s">
        <v>27</v>
      </c>
      <c r="H102" s="21"/>
      <c r="I102" s="25">
        <v>5</v>
      </c>
      <c r="J102" s="25">
        <v>5</v>
      </c>
      <c r="K102" s="25">
        <v>10</v>
      </c>
      <c r="L102" s="25">
        <v>5</v>
      </c>
      <c r="M102" s="25">
        <v>5</v>
      </c>
      <c r="N102" s="26">
        <v>2</v>
      </c>
      <c r="O102" s="25">
        <v>6</v>
      </c>
      <c r="P102" s="25">
        <v>2</v>
      </c>
      <c r="Q102" s="25">
        <v>16</v>
      </c>
      <c r="R102" s="25">
        <v>13</v>
      </c>
      <c r="S102" s="25">
        <v>14</v>
      </c>
      <c r="T102" s="25">
        <v>25</v>
      </c>
      <c r="U102" s="26">
        <v>3</v>
      </c>
      <c r="V102" s="20">
        <v>111</v>
      </c>
    </row>
    <row r="103" spans="1:22" ht="43.8" thickBot="1">
      <c r="A103" s="14"/>
      <c r="B103" s="14" t="s">
        <v>323</v>
      </c>
      <c r="C103" s="15">
        <v>109897</v>
      </c>
      <c r="D103" s="15">
        <v>24122944</v>
      </c>
      <c r="E103" s="14" t="s">
        <v>324</v>
      </c>
      <c r="F103" s="16" t="s">
        <v>13</v>
      </c>
      <c r="G103" s="14" t="s">
        <v>40</v>
      </c>
      <c r="H103" s="14"/>
      <c r="I103" s="17">
        <v>10</v>
      </c>
      <c r="J103" s="17">
        <v>0</v>
      </c>
      <c r="K103" s="17">
        <v>10</v>
      </c>
      <c r="L103" s="17">
        <v>5</v>
      </c>
      <c r="M103" s="17">
        <v>5</v>
      </c>
      <c r="N103" s="18">
        <v>0</v>
      </c>
      <c r="O103" s="17">
        <v>4</v>
      </c>
      <c r="P103" s="17">
        <v>16</v>
      </c>
      <c r="Q103" s="17">
        <v>11</v>
      </c>
      <c r="R103" s="17">
        <v>7</v>
      </c>
      <c r="S103" s="17">
        <v>16</v>
      </c>
      <c r="T103" s="17">
        <v>25</v>
      </c>
      <c r="U103" s="18">
        <v>2</v>
      </c>
      <c r="V103" s="20">
        <v>111</v>
      </c>
    </row>
    <row r="104" spans="1:22" ht="43.8" thickBot="1">
      <c r="A104" s="23"/>
      <c r="B104" s="23" t="s">
        <v>627</v>
      </c>
      <c r="C104" s="22">
        <v>103722</v>
      </c>
      <c r="D104" s="22">
        <v>24036210</v>
      </c>
      <c r="E104" s="23" t="s">
        <v>628</v>
      </c>
      <c r="F104" s="24" t="s">
        <v>13</v>
      </c>
      <c r="G104" s="23" t="s">
        <v>40</v>
      </c>
      <c r="H104" s="21"/>
      <c r="I104" s="25">
        <v>7</v>
      </c>
      <c r="J104" s="25">
        <v>5</v>
      </c>
      <c r="K104" s="25">
        <v>5</v>
      </c>
      <c r="L104" s="25">
        <v>10</v>
      </c>
      <c r="M104" s="25">
        <v>5</v>
      </c>
      <c r="N104" s="26">
        <v>10</v>
      </c>
      <c r="O104" s="25">
        <v>5</v>
      </c>
      <c r="P104" s="25">
        <v>16</v>
      </c>
      <c r="Q104" s="25">
        <v>16</v>
      </c>
      <c r="R104" s="25">
        <v>10</v>
      </c>
      <c r="S104" s="25">
        <v>16</v>
      </c>
      <c r="T104" s="25">
        <v>4</v>
      </c>
      <c r="U104" s="26">
        <v>2</v>
      </c>
      <c r="V104" s="20">
        <v>111</v>
      </c>
    </row>
    <row r="105" spans="1:22" ht="43.8" thickBot="1">
      <c r="A105" s="14"/>
      <c r="B105" s="14" t="s">
        <v>437</v>
      </c>
      <c r="C105" s="15">
        <v>109261</v>
      </c>
      <c r="D105" s="15">
        <v>24110993</v>
      </c>
      <c r="E105" s="14" t="s">
        <v>438</v>
      </c>
      <c r="F105" s="16" t="s">
        <v>13</v>
      </c>
      <c r="G105" s="14" t="s">
        <v>17</v>
      </c>
      <c r="H105" s="14"/>
      <c r="I105" s="17">
        <v>5</v>
      </c>
      <c r="J105" s="17">
        <v>5</v>
      </c>
      <c r="K105" s="17">
        <v>10</v>
      </c>
      <c r="L105" s="17">
        <v>5</v>
      </c>
      <c r="M105" s="17">
        <v>5</v>
      </c>
      <c r="N105" s="18">
        <v>10</v>
      </c>
      <c r="O105" s="17">
        <v>4</v>
      </c>
      <c r="P105" s="17">
        <v>16</v>
      </c>
      <c r="Q105" s="17">
        <v>16</v>
      </c>
      <c r="R105" s="17">
        <v>15.5</v>
      </c>
      <c r="S105" s="17">
        <v>12</v>
      </c>
      <c r="T105" s="17">
        <v>6</v>
      </c>
      <c r="U105" s="18">
        <v>2</v>
      </c>
      <c r="V105" s="20">
        <v>111.5</v>
      </c>
    </row>
    <row r="106" spans="1:22" ht="43.8" thickBot="1">
      <c r="A106" s="23"/>
      <c r="B106" s="23" t="s">
        <v>18</v>
      </c>
      <c r="C106" s="22">
        <v>111055</v>
      </c>
      <c r="D106" s="22">
        <v>24142154</v>
      </c>
      <c r="E106" s="23" t="s">
        <v>19</v>
      </c>
      <c r="F106" s="24" t="s">
        <v>13</v>
      </c>
      <c r="G106" s="23" t="s">
        <v>20</v>
      </c>
      <c r="H106" s="21"/>
      <c r="I106" s="25">
        <v>10</v>
      </c>
      <c r="J106" s="25">
        <v>5</v>
      </c>
      <c r="K106" s="25">
        <v>5</v>
      </c>
      <c r="L106" s="25">
        <v>5</v>
      </c>
      <c r="M106" s="25">
        <v>10</v>
      </c>
      <c r="N106" s="26">
        <v>2</v>
      </c>
      <c r="O106" s="25">
        <v>5</v>
      </c>
      <c r="P106" s="25">
        <v>16</v>
      </c>
      <c r="Q106" s="25">
        <v>14</v>
      </c>
      <c r="R106" s="25">
        <v>16</v>
      </c>
      <c r="S106" s="25">
        <v>8</v>
      </c>
      <c r="T106" s="25">
        <v>11</v>
      </c>
      <c r="U106" s="26">
        <v>5</v>
      </c>
      <c r="V106" s="20">
        <v>112</v>
      </c>
    </row>
    <row r="107" spans="1:22" ht="43.8" thickBot="1">
      <c r="A107" s="14"/>
      <c r="B107" s="14" t="s">
        <v>173</v>
      </c>
      <c r="C107" s="15">
        <v>103891</v>
      </c>
      <c r="D107" s="15">
        <v>24036329</v>
      </c>
      <c r="E107" s="14" t="s">
        <v>174</v>
      </c>
      <c r="F107" s="16" t="s">
        <v>13</v>
      </c>
      <c r="G107" s="14" t="s">
        <v>27</v>
      </c>
      <c r="H107" s="14"/>
      <c r="I107" s="17">
        <v>5</v>
      </c>
      <c r="J107" s="17">
        <v>2</v>
      </c>
      <c r="K107" s="17">
        <v>0</v>
      </c>
      <c r="L107" s="17">
        <v>10</v>
      </c>
      <c r="M107" s="17">
        <v>0</v>
      </c>
      <c r="N107" s="18">
        <v>10</v>
      </c>
      <c r="O107" s="17">
        <v>4</v>
      </c>
      <c r="P107" s="17">
        <v>16</v>
      </c>
      <c r="Q107" s="17">
        <v>16</v>
      </c>
      <c r="R107" s="17">
        <v>13.5</v>
      </c>
      <c r="S107" s="17">
        <v>8</v>
      </c>
      <c r="T107" s="17">
        <v>23</v>
      </c>
      <c r="U107" s="18">
        <v>5</v>
      </c>
      <c r="V107" s="20">
        <v>112.5</v>
      </c>
    </row>
    <row r="108" spans="1:22" ht="43.8" thickBot="1">
      <c r="A108" s="23"/>
      <c r="B108" s="23" t="s">
        <v>167</v>
      </c>
      <c r="C108" s="22">
        <v>104129</v>
      </c>
      <c r="D108" s="22">
        <v>24036567</v>
      </c>
      <c r="E108" s="23" t="s">
        <v>168</v>
      </c>
      <c r="F108" s="24" t="s">
        <v>13</v>
      </c>
      <c r="G108" s="23" t="s">
        <v>20</v>
      </c>
      <c r="H108" s="21"/>
      <c r="I108" s="25">
        <v>5</v>
      </c>
      <c r="J108" s="25">
        <v>10</v>
      </c>
      <c r="K108" s="25">
        <v>0</v>
      </c>
      <c r="L108" s="25">
        <v>0</v>
      </c>
      <c r="M108" s="25">
        <v>5</v>
      </c>
      <c r="N108" s="26">
        <v>7</v>
      </c>
      <c r="O108" s="25">
        <v>16</v>
      </c>
      <c r="P108" s="25">
        <v>12</v>
      </c>
      <c r="Q108" s="25">
        <v>16</v>
      </c>
      <c r="R108" s="25">
        <v>10.5</v>
      </c>
      <c r="S108" s="25">
        <v>16</v>
      </c>
      <c r="T108" s="25">
        <v>10</v>
      </c>
      <c r="U108" s="26">
        <v>5</v>
      </c>
      <c r="V108" s="20">
        <v>112.5</v>
      </c>
    </row>
    <row r="109" spans="1:22" ht="43.8" thickBot="1">
      <c r="A109" s="14"/>
      <c r="B109" s="14" t="s">
        <v>123</v>
      </c>
      <c r="C109" s="15">
        <v>111162</v>
      </c>
      <c r="D109" s="15">
        <v>24143786</v>
      </c>
      <c r="E109" s="14" t="s">
        <v>124</v>
      </c>
      <c r="F109" s="16" t="s">
        <v>13</v>
      </c>
      <c r="G109" s="14" t="s">
        <v>14</v>
      </c>
      <c r="H109" s="14"/>
      <c r="I109" s="17">
        <v>10</v>
      </c>
      <c r="J109" s="17">
        <v>0</v>
      </c>
      <c r="K109" s="17">
        <v>10</v>
      </c>
      <c r="L109" s="17">
        <v>5</v>
      </c>
      <c r="M109" s="17">
        <v>5</v>
      </c>
      <c r="N109" s="18">
        <v>1</v>
      </c>
      <c r="O109" s="17">
        <v>4</v>
      </c>
      <c r="P109" s="17">
        <v>14</v>
      </c>
      <c r="Q109" s="17">
        <v>16</v>
      </c>
      <c r="R109" s="17">
        <v>13</v>
      </c>
      <c r="S109" s="17">
        <v>6</v>
      </c>
      <c r="T109" s="17">
        <v>25</v>
      </c>
      <c r="U109" s="18">
        <v>4</v>
      </c>
      <c r="V109" s="20">
        <v>113</v>
      </c>
    </row>
    <row r="110" spans="1:22" ht="43.8" thickBot="1">
      <c r="A110" s="23"/>
      <c r="B110" s="23" t="s">
        <v>351</v>
      </c>
      <c r="C110" s="22">
        <v>111701</v>
      </c>
      <c r="D110" s="22">
        <v>24151249</v>
      </c>
      <c r="E110" s="23" t="s">
        <v>352</v>
      </c>
      <c r="F110" s="24" t="s">
        <v>13</v>
      </c>
      <c r="G110" s="23" t="s">
        <v>14</v>
      </c>
      <c r="H110" s="21"/>
      <c r="I110" s="25">
        <v>0</v>
      </c>
      <c r="J110" s="25">
        <v>5</v>
      </c>
      <c r="K110" s="25">
        <v>10</v>
      </c>
      <c r="L110" s="25">
        <v>0</v>
      </c>
      <c r="M110" s="25">
        <v>5</v>
      </c>
      <c r="N110" s="26">
        <v>10</v>
      </c>
      <c r="O110" s="25">
        <v>6</v>
      </c>
      <c r="P110" s="25">
        <v>6</v>
      </c>
      <c r="Q110" s="25">
        <v>16</v>
      </c>
      <c r="R110" s="25">
        <v>16</v>
      </c>
      <c r="S110" s="25">
        <v>13</v>
      </c>
      <c r="T110" s="25">
        <v>25</v>
      </c>
      <c r="U110" s="26">
        <v>1</v>
      </c>
      <c r="V110" s="20">
        <v>113</v>
      </c>
    </row>
    <row r="111" spans="1:22" ht="43.8" thickBot="1">
      <c r="A111" s="14"/>
      <c r="B111" s="14" t="s">
        <v>625</v>
      </c>
      <c r="C111" s="15">
        <v>109735</v>
      </c>
      <c r="D111" s="15">
        <v>24119833</v>
      </c>
      <c r="E111" s="14" t="s">
        <v>626</v>
      </c>
      <c r="F111" s="16" t="s">
        <v>13</v>
      </c>
      <c r="G111" s="14" t="s">
        <v>27</v>
      </c>
      <c r="H111" s="14"/>
      <c r="I111" s="17">
        <v>5</v>
      </c>
      <c r="J111" s="17">
        <v>5</v>
      </c>
      <c r="K111" s="17">
        <v>10</v>
      </c>
      <c r="L111" s="17">
        <v>5</v>
      </c>
      <c r="M111" s="17">
        <v>0</v>
      </c>
      <c r="N111" s="18">
        <v>5</v>
      </c>
      <c r="O111" s="17">
        <v>11</v>
      </c>
      <c r="P111" s="17">
        <v>16</v>
      </c>
      <c r="Q111" s="17">
        <v>9</v>
      </c>
      <c r="R111" s="17">
        <v>10</v>
      </c>
      <c r="S111" s="17">
        <v>13</v>
      </c>
      <c r="T111" s="17">
        <v>24</v>
      </c>
      <c r="U111" s="18">
        <v>1</v>
      </c>
      <c r="V111" s="20">
        <v>114</v>
      </c>
    </row>
    <row r="112" spans="1:22" ht="43.8" thickBot="1">
      <c r="A112" s="23"/>
      <c r="B112" s="23" t="s">
        <v>499</v>
      </c>
      <c r="C112" s="22">
        <v>108559</v>
      </c>
      <c r="D112" s="22">
        <v>24100606</v>
      </c>
      <c r="E112" s="23" t="s">
        <v>500</v>
      </c>
      <c r="F112" s="24" t="s">
        <v>13</v>
      </c>
      <c r="G112" s="23" t="s">
        <v>20</v>
      </c>
      <c r="H112" s="21"/>
      <c r="I112" s="25">
        <v>7</v>
      </c>
      <c r="J112" s="25">
        <v>2</v>
      </c>
      <c r="K112" s="25">
        <v>5</v>
      </c>
      <c r="L112" s="25">
        <v>5</v>
      </c>
      <c r="M112" s="25">
        <v>5</v>
      </c>
      <c r="N112" s="26">
        <v>1</v>
      </c>
      <c r="O112" s="25">
        <v>16</v>
      </c>
      <c r="P112" s="25">
        <v>16</v>
      </c>
      <c r="Q112" s="25">
        <v>16</v>
      </c>
      <c r="R112" s="25">
        <v>10</v>
      </c>
      <c r="S112" s="25">
        <v>8</v>
      </c>
      <c r="T112" s="25">
        <v>8</v>
      </c>
      <c r="U112" s="26">
        <v>15</v>
      </c>
      <c r="V112" s="20">
        <v>114</v>
      </c>
    </row>
    <row r="113" spans="1:22" ht="43.8" thickBot="1">
      <c r="A113" s="14"/>
      <c r="B113" s="14" t="s">
        <v>681</v>
      </c>
      <c r="C113" s="15">
        <v>108753</v>
      </c>
      <c r="D113" s="15">
        <v>24102867</v>
      </c>
      <c r="E113" s="14" t="s">
        <v>682</v>
      </c>
      <c r="F113" s="16" t="s">
        <v>13</v>
      </c>
      <c r="G113" s="14" t="s">
        <v>20</v>
      </c>
      <c r="H113" s="14"/>
      <c r="I113" s="17">
        <v>5</v>
      </c>
      <c r="J113" s="17">
        <v>2</v>
      </c>
      <c r="K113" s="17">
        <v>10</v>
      </c>
      <c r="L113" s="17">
        <v>0</v>
      </c>
      <c r="M113" s="17">
        <v>5</v>
      </c>
      <c r="N113" s="18">
        <v>6</v>
      </c>
      <c r="O113" s="17">
        <v>6</v>
      </c>
      <c r="P113" s="17">
        <v>12</v>
      </c>
      <c r="Q113" s="17">
        <v>16</v>
      </c>
      <c r="R113" s="17">
        <v>13</v>
      </c>
      <c r="S113" s="17">
        <v>10</v>
      </c>
      <c r="T113" s="17">
        <v>14</v>
      </c>
      <c r="U113" s="18">
        <v>15</v>
      </c>
      <c r="V113" s="20">
        <v>114</v>
      </c>
    </row>
    <row r="114" spans="1:22" ht="43.8" thickBot="1">
      <c r="A114" s="23"/>
      <c r="B114" s="23" t="s">
        <v>309</v>
      </c>
      <c r="C114" s="22">
        <v>20388</v>
      </c>
      <c r="D114" s="22">
        <v>17149260</v>
      </c>
      <c r="E114" s="23" t="s">
        <v>310</v>
      </c>
      <c r="F114" s="24" t="s">
        <v>13</v>
      </c>
      <c r="G114" s="23" t="s">
        <v>27</v>
      </c>
      <c r="H114" s="21"/>
      <c r="I114" s="25">
        <v>10</v>
      </c>
      <c r="J114" s="25">
        <v>7</v>
      </c>
      <c r="K114" s="25">
        <v>0</v>
      </c>
      <c r="L114" s="25">
        <v>5</v>
      </c>
      <c r="M114" s="25">
        <v>5</v>
      </c>
      <c r="N114" s="26">
        <v>4</v>
      </c>
      <c r="O114" s="25">
        <v>5</v>
      </c>
      <c r="P114" s="25">
        <v>16</v>
      </c>
      <c r="Q114" s="25">
        <v>16</v>
      </c>
      <c r="R114" s="25">
        <v>12.5</v>
      </c>
      <c r="S114" s="25">
        <v>8</v>
      </c>
      <c r="T114" s="25">
        <v>25</v>
      </c>
      <c r="U114" s="26">
        <v>1</v>
      </c>
      <c r="V114" s="20">
        <v>114.5</v>
      </c>
    </row>
    <row r="115" spans="1:22" ht="54" thickBot="1">
      <c r="A115" s="14"/>
      <c r="B115" s="14" t="s">
        <v>157</v>
      </c>
      <c r="C115" s="15">
        <v>111177</v>
      </c>
      <c r="D115" s="15">
        <v>24143565</v>
      </c>
      <c r="E115" s="14" t="s">
        <v>158</v>
      </c>
      <c r="F115" s="16" t="s">
        <v>13</v>
      </c>
      <c r="G115" s="14" t="s">
        <v>20</v>
      </c>
      <c r="H115" s="14"/>
      <c r="I115" s="17">
        <v>10</v>
      </c>
      <c r="J115" s="17">
        <v>7</v>
      </c>
      <c r="K115" s="17">
        <v>10</v>
      </c>
      <c r="L115" s="17">
        <v>10</v>
      </c>
      <c r="M115" s="17">
        <v>0</v>
      </c>
      <c r="N115" s="18">
        <v>2</v>
      </c>
      <c r="O115" s="17">
        <v>14</v>
      </c>
      <c r="P115" s="17">
        <v>6</v>
      </c>
      <c r="Q115" s="17">
        <v>14</v>
      </c>
      <c r="R115" s="17">
        <v>15.5</v>
      </c>
      <c r="S115" s="17">
        <v>7</v>
      </c>
      <c r="T115" s="17">
        <v>4</v>
      </c>
      <c r="U115" s="18">
        <v>15</v>
      </c>
      <c r="V115" s="20">
        <v>114.5</v>
      </c>
    </row>
    <row r="116" spans="1:22" ht="43.8" thickBot="1">
      <c r="A116" s="23"/>
      <c r="B116" s="23" t="s">
        <v>569</v>
      </c>
      <c r="C116" s="22">
        <v>108703</v>
      </c>
      <c r="D116" s="22">
        <v>24103190</v>
      </c>
      <c r="E116" s="23" t="s">
        <v>570</v>
      </c>
      <c r="F116" s="24" t="s">
        <v>13</v>
      </c>
      <c r="G116" s="23" t="s">
        <v>20</v>
      </c>
      <c r="H116" s="21"/>
      <c r="I116" s="25">
        <v>0</v>
      </c>
      <c r="J116" s="25">
        <v>2</v>
      </c>
      <c r="K116" s="25">
        <v>0</v>
      </c>
      <c r="L116" s="25">
        <v>0</v>
      </c>
      <c r="M116" s="25">
        <v>5</v>
      </c>
      <c r="N116" s="26">
        <v>2</v>
      </c>
      <c r="O116" s="25">
        <v>16</v>
      </c>
      <c r="P116" s="25">
        <v>16</v>
      </c>
      <c r="Q116" s="25">
        <v>16</v>
      </c>
      <c r="R116" s="25">
        <v>15.5</v>
      </c>
      <c r="S116" s="25">
        <v>12</v>
      </c>
      <c r="T116" s="25">
        <v>25</v>
      </c>
      <c r="U116" s="26">
        <v>5</v>
      </c>
      <c r="V116" s="20">
        <v>114.5</v>
      </c>
    </row>
    <row r="117" spans="1:22" ht="43.8" thickBot="1">
      <c r="A117" s="14"/>
      <c r="B117" s="14" t="s">
        <v>457</v>
      </c>
      <c r="C117" s="15">
        <v>103709</v>
      </c>
      <c r="D117" s="15">
        <v>14407352</v>
      </c>
      <c r="E117" s="14" t="s">
        <v>458</v>
      </c>
      <c r="F117" s="16" t="s">
        <v>13</v>
      </c>
      <c r="G117" s="14" t="s">
        <v>40</v>
      </c>
      <c r="H117" s="14"/>
      <c r="I117" s="17">
        <v>0</v>
      </c>
      <c r="J117" s="17">
        <v>10</v>
      </c>
      <c r="K117" s="17">
        <v>10</v>
      </c>
      <c r="L117" s="17">
        <v>10</v>
      </c>
      <c r="M117" s="17">
        <v>5</v>
      </c>
      <c r="N117" s="18">
        <v>5</v>
      </c>
      <c r="O117" s="17">
        <v>12</v>
      </c>
      <c r="P117" s="17">
        <v>6</v>
      </c>
      <c r="Q117" s="17">
        <v>16</v>
      </c>
      <c r="R117" s="17">
        <v>13</v>
      </c>
      <c r="S117" s="17">
        <v>10</v>
      </c>
      <c r="T117" s="17">
        <v>14</v>
      </c>
      <c r="U117" s="18">
        <v>4</v>
      </c>
      <c r="V117" s="20">
        <v>115</v>
      </c>
    </row>
    <row r="118" spans="1:22" ht="43.8" thickBot="1">
      <c r="A118" s="23"/>
      <c r="B118" s="23" t="s">
        <v>81</v>
      </c>
      <c r="C118" s="22">
        <v>110923</v>
      </c>
      <c r="D118" s="22">
        <v>13405066</v>
      </c>
      <c r="E118" s="23" t="s">
        <v>82</v>
      </c>
      <c r="F118" s="24" t="s">
        <v>13</v>
      </c>
      <c r="G118" s="23" t="s">
        <v>17</v>
      </c>
      <c r="H118" s="21"/>
      <c r="I118" s="25">
        <v>0</v>
      </c>
      <c r="J118" s="25">
        <v>5</v>
      </c>
      <c r="K118" s="25">
        <v>0</v>
      </c>
      <c r="L118" s="25">
        <v>0</v>
      </c>
      <c r="M118" s="25">
        <v>5</v>
      </c>
      <c r="N118" s="26">
        <v>2</v>
      </c>
      <c r="O118" s="25">
        <v>9</v>
      </c>
      <c r="P118" s="25">
        <v>16</v>
      </c>
      <c r="Q118" s="25">
        <v>16</v>
      </c>
      <c r="R118" s="25">
        <v>12.5</v>
      </c>
      <c r="S118" s="25">
        <v>10</v>
      </c>
      <c r="T118" s="25">
        <v>25</v>
      </c>
      <c r="U118" s="26">
        <v>15</v>
      </c>
      <c r="V118" s="20">
        <v>115.5</v>
      </c>
    </row>
    <row r="119" spans="1:22" ht="43.8" thickBot="1">
      <c r="A119" s="14"/>
      <c r="B119" s="14" t="s">
        <v>657</v>
      </c>
      <c r="C119" s="15">
        <v>103558</v>
      </c>
      <c r="D119" s="15">
        <v>24037094</v>
      </c>
      <c r="E119" s="14" t="s">
        <v>658</v>
      </c>
      <c r="F119" s="16" t="s">
        <v>13</v>
      </c>
      <c r="G119" s="14" t="s">
        <v>17</v>
      </c>
      <c r="H119" s="14"/>
      <c r="I119" s="17">
        <v>10</v>
      </c>
      <c r="J119" s="17">
        <v>2</v>
      </c>
      <c r="K119" s="17">
        <v>0</v>
      </c>
      <c r="L119" s="17">
        <v>5</v>
      </c>
      <c r="M119" s="17">
        <v>0</v>
      </c>
      <c r="N119" s="18">
        <v>2</v>
      </c>
      <c r="O119" s="17">
        <v>14</v>
      </c>
      <c r="P119" s="17">
        <v>16</v>
      </c>
      <c r="Q119" s="17">
        <v>16</v>
      </c>
      <c r="R119" s="17">
        <v>12.5</v>
      </c>
      <c r="S119" s="17">
        <v>12</v>
      </c>
      <c r="T119" s="17">
        <v>25</v>
      </c>
      <c r="U119" s="18">
        <v>1</v>
      </c>
      <c r="V119" s="20">
        <v>115.5</v>
      </c>
    </row>
    <row r="120" spans="1:22" ht="43.8" thickBot="1">
      <c r="A120" s="23"/>
      <c r="B120" s="23" t="s">
        <v>411</v>
      </c>
      <c r="C120" s="22">
        <v>103292</v>
      </c>
      <c r="D120" s="22">
        <v>24037519</v>
      </c>
      <c r="E120" s="23" t="s">
        <v>412</v>
      </c>
      <c r="F120" s="24" t="s">
        <v>13</v>
      </c>
      <c r="G120" s="23" t="s">
        <v>40</v>
      </c>
      <c r="H120" s="21"/>
      <c r="I120" s="25">
        <v>10</v>
      </c>
      <c r="J120" s="25">
        <v>5</v>
      </c>
      <c r="K120" s="25">
        <v>0</v>
      </c>
      <c r="L120" s="25">
        <v>10</v>
      </c>
      <c r="M120" s="25">
        <v>0</v>
      </c>
      <c r="N120" s="26">
        <v>5</v>
      </c>
      <c r="O120" s="25">
        <v>14</v>
      </c>
      <c r="P120" s="25">
        <v>13</v>
      </c>
      <c r="Q120" s="25">
        <v>16</v>
      </c>
      <c r="R120" s="25">
        <v>12.5</v>
      </c>
      <c r="S120" s="25">
        <v>10</v>
      </c>
      <c r="T120" s="25">
        <v>20</v>
      </c>
      <c r="U120" s="26">
        <v>1</v>
      </c>
      <c r="V120" s="20">
        <v>116.5</v>
      </c>
    </row>
    <row r="121" spans="1:22" ht="43.8" thickBot="1">
      <c r="A121" s="14"/>
      <c r="B121" s="14" t="s">
        <v>239</v>
      </c>
      <c r="C121" s="15">
        <v>112169</v>
      </c>
      <c r="D121" s="15">
        <v>24158355</v>
      </c>
      <c r="E121" s="14" t="s">
        <v>240</v>
      </c>
      <c r="F121" s="16" t="s">
        <v>13</v>
      </c>
      <c r="G121" s="14" t="s">
        <v>40</v>
      </c>
      <c r="H121" s="14"/>
      <c r="I121" s="17">
        <v>5</v>
      </c>
      <c r="J121" s="17">
        <v>5</v>
      </c>
      <c r="K121" s="17">
        <v>0</v>
      </c>
      <c r="L121" s="17">
        <v>5</v>
      </c>
      <c r="M121" s="17">
        <v>0</v>
      </c>
      <c r="N121" s="18">
        <v>2</v>
      </c>
      <c r="O121" s="17">
        <v>9</v>
      </c>
      <c r="P121" s="17">
        <v>16</v>
      </c>
      <c r="Q121" s="17">
        <v>16</v>
      </c>
      <c r="R121" s="17">
        <v>16</v>
      </c>
      <c r="S121" s="17">
        <v>16</v>
      </c>
      <c r="T121" s="17">
        <v>25</v>
      </c>
      <c r="U121" s="18">
        <v>2</v>
      </c>
      <c r="V121" s="20">
        <v>117</v>
      </c>
    </row>
    <row r="122" spans="1:22" ht="43.8" thickBot="1">
      <c r="A122" s="23"/>
      <c r="B122" s="23" t="s">
        <v>391</v>
      </c>
      <c r="C122" s="22">
        <v>109935</v>
      </c>
      <c r="D122" s="22">
        <v>24122859</v>
      </c>
      <c r="E122" s="23" t="s">
        <v>392</v>
      </c>
      <c r="F122" s="24" t="s">
        <v>13</v>
      </c>
      <c r="G122" s="23" t="s">
        <v>20</v>
      </c>
      <c r="H122" s="21"/>
      <c r="I122" s="25">
        <v>10</v>
      </c>
      <c r="J122" s="25">
        <v>7</v>
      </c>
      <c r="K122" s="25">
        <v>5</v>
      </c>
      <c r="L122" s="25">
        <v>10</v>
      </c>
      <c r="M122" s="25">
        <v>10</v>
      </c>
      <c r="N122" s="26">
        <v>2</v>
      </c>
      <c r="O122" s="25">
        <v>6</v>
      </c>
      <c r="P122" s="25">
        <v>10</v>
      </c>
      <c r="Q122" s="25">
        <v>12</v>
      </c>
      <c r="R122" s="25">
        <v>7</v>
      </c>
      <c r="S122" s="25">
        <v>8</v>
      </c>
      <c r="T122" s="25">
        <v>25</v>
      </c>
      <c r="U122" s="26">
        <v>5</v>
      </c>
      <c r="V122" s="20">
        <v>117</v>
      </c>
    </row>
    <row r="123" spans="1:22" ht="67.2" thickBot="1">
      <c r="A123" s="14"/>
      <c r="B123" s="14" t="s">
        <v>155</v>
      </c>
      <c r="C123" s="15">
        <v>111175</v>
      </c>
      <c r="D123" s="15">
        <v>24143769</v>
      </c>
      <c r="E123" s="14" t="s">
        <v>156</v>
      </c>
      <c r="F123" s="16" t="s">
        <v>13</v>
      </c>
      <c r="G123" s="14" t="s">
        <v>17</v>
      </c>
      <c r="H123" s="14"/>
      <c r="I123" s="17">
        <v>5</v>
      </c>
      <c r="J123" s="17">
        <v>5</v>
      </c>
      <c r="K123" s="17">
        <v>10</v>
      </c>
      <c r="L123" s="17">
        <v>5</v>
      </c>
      <c r="M123" s="17">
        <v>5</v>
      </c>
      <c r="N123" s="18">
        <v>0</v>
      </c>
      <c r="O123" s="17">
        <v>14</v>
      </c>
      <c r="P123" s="17">
        <v>8</v>
      </c>
      <c r="Q123" s="17">
        <v>16</v>
      </c>
      <c r="R123" s="17">
        <v>10.5</v>
      </c>
      <c r="S123" s="17">
        <v>12</v>
      </c>
      <c r="T123" s="17">
        <v>25</v>
      </c>
      <c r="U123" s="18">
        <v>2</v>
      </c>
      <c r="V123" s="20">
        <v>117.5</v>
      </c>
    </row>
    <row r="124" spans="1:22" ht="43.8" thickBot="1">
      <c r="A124" s="23"/>
      <c r="B124" s="23" t="s">
        <v>281</v>
      </c>
      <c r="C124" s="22">
        <v>109662</v>
      </c>
      <c r="D124" s="22">
        <v>24119578</v>
      </c>
      <c r="E124" s="23" t="s">
        <v>282</v>
      </c>
      <c r="F124" s="24" t="s">
        <v>13</v>
      </c>
      <c r="G124" s="23" t="s">
        <v>20</v>
      </c>
      <c r="H124" s="21"/>
      <c r="I124" s="25">
        <v>5</v>
      </c>
      <c r="J124" s="25">
        <v>0</v>
      </c>
      <c r="K124" s="25">
        <v>5</v>
      </c>
      <c r="L124" s="25">
        <v>5</v>
      </c>
      <c r="M124" s="25">
        <v>10</v>
      </c>
      <c r="N124" s="26">
        <v>2</v>
      </c>
      <c r="O124" s="25">
        <v>6</v>
      </c>
      <c r="P124" s="27">
        <v>14</v>
      </c>
      <c r="Q124" s="25">
        <v>16</v>
      </c>
      <c r="R124" s="25">
        <v>12.5</v>
      </c>
      <c r="S124" s="25">
        <v>16</v>
      </c>
      <c r="T124" s="25">
        <v>25</v>
      </c>
      <c r="U124" s="26">
        <v>1</v>
      </c>
      <c r="V124" s="20">
        <v>117.5</v>
      </c>
    </row>
    <row r="125" spans="1:22" ht="43.8" thickBot="1">
      <c r="A125" s="14"/>
      <c r="B125" s="14" t="s">
        <v>477</v>
      </c>
      <c r="C125" s="15">
        <v>84940</v>
      </c>
      <c r="D125" s="15">
        <v>17506515</v>
      </c>
      <c r="E125" s="14" t="s">
        <v>478</v>
      </c>
      <c r="F125" s="16" t="s">
        <v>13</v>
      </c>
      <c r="G125" s="14" t="s">
        <v>40</v>
      </c>
      <c r="H125" s="14"/>
      <c r="I125" s="17">
        <v>5</v>
      </c>
      <c r="J125" s="17">
        <v>7</v>
      </c>
      <c r="K125" s="17">
        <v>5</v>
      </c>
      <c r="L125" s="17">
        <v>5</v>
      </c>
      <c r="M125" s="17">
        <v>10</v>
      </c>
      <c r="N125" s="18">
        <v>10</v>
      </c>
      <c r="O125" s="17">
        <v>16</v>
      </c>
      <c r="P125" s="17">
        <v>14</v>
      </c>
      <c r="Q125" s="17">
        <v>16</v>
      </c>
      <c r="R125" s="17">
        <v>3</v>
      </c>
      <c r="S125" s="17">
        <v>6</v>
      </c>
      <c r="T125" s="17">
        <v>18</v>
      </c>
      <c r="U125" s="18">
        <v>3</v>
      </c>
      <c r="V125" s="20">
        <v>118</v>
      </c>
    </row>
    <row r="126" spans="1:22" ht="43.8" thickBot="1">
      <c r="A126" s="23"/>
      <c r="B126" s="23" t="s">
        <v>649</v>
      </c>
      <c r="C126" s="22">
        <v>109954</v>
      </c>
      <c r="D126" s="22">
        <v>24122825</v>
      </c>
      <c r="E126" s="23" t="s">
        <v>650</v>
      </c>
      <c r="F126" s="24" t="s">
        <v>13</v>
      </c>
      <c r="G126" s="23" t="s">
        <v>20</v>
      </c>
      <c r="H126" s="21"/>
      <c r="I126" s="25">
        <v>0</v>
      </c>
      <c r="J126" s="25">
        <v>5</v>
      </c>
      <c r="K126" s="25">
        <v>5</v>
      </c>
      <c r="L126" s="25">
        <v>5</v>
      </c>
      <c r="M126" s="25">
        <v>10</v>
      </c>
      <c r="N126" s="26">
        <v>10</v>
      </c>
      <c r="O126" s="25">
        <v>9</v>
      </c>
      <c r="P126" s="25">
        <v>16</v>
      </c>
      <c r="Q126" s="25">
        <v>14</v>
      </c>
      <c r="R126" s="25">
        <v>15</v>
      </c>
      <c r="S126" s="25">
        <v>10</v>
      </c>
      <c r="T126" s="25">
        <v>14</v>
      </c>
      <c r="U126" s="26">
        <v>5</v>
      </c>
      <c r="V126" s="20">
        <v>118</v>
      </c>
    </row>
    <row r="127" spans="1:22" ht="43.8" thickBot="1">
      <c r="A127" s="14"/>
      <c r="B127" s="14" t="s">
        <v>423</v>
      </c>
      <c r="C127" s="15">
        <v>104554</v>
      </c>
      <c r="D127" s="15">
        <v>24011849</v>
      </c>
      <c r="E127" s="14" t="s">
        <v>424</v>
      </c>
      <c r="F127" s="16" t="s">
        <v>13</v>
      </c>
      <c r="G127" s="14" t="s">
        <v>17</v>
      </c>
      <c r="H127" s="14"/>
      <c r="I127" s="17">
        <v>5</v>
      </c>
      <c r="J127" s="17">
        <v>2</v>
      </c>
      <c r="K127" s="17">
        <v>0</v>
      </c>
      <c r="L127" s="17">
        <v>5</v>
      </c>
      <c r="M127" s="17">
        <v>10</v>
      </c>
      <c r="N127" s="18">
        <v>2</v>
      </c>
      <c r="O127" s="17">
        <v>3</v>
      </c>
      <c r="P127" s="17">
        <v>16</v>
      </c>
      <c r="Q127" s="17">
        <v>14</v>
      </c>
      <c r="R127" s="17">
        <v>15.5</v>
      </c>
      <c r="S127" s="17">
        <v>6</v>
      </c>
      <c r="T127" s="17">
        <v>25</v>
      </c>
      <c r="U127" s="18">
        <v>15</v>
      </c>
      <c r="V127" s="20">
        <v>118.5</v>
      </c>
    </row>
    <row r="128" spans="1:22" ht="43.8" thickBot="1">
      <c r="A128" s="23"/>
      <c r="B128" s="23" t="s">
        <v>407</v>
      </c>
      <c r="C128" s="22">
        <v>109667</v>
      </c>
      <c r="D128" s="22">
        <v>24119527</v>
      </c>
      <c r="E128" s="23" t="s">
        <v>408</v>
      </c>
      <c r="F128" s="24" t="s">
        <v>13</v>
      </c>
      <c r="G128" s="23" t="s">
        <v>27</v>
      </c>
      <c r="H128" s="21"/>
      <c r="I128" s="25">
        <v>5</v>
      </c>
      <c r="J128" s="25">
        <v>5</v>
      </c>
      <c r="K128" s="25">
        <v>0</v>
      </c>
      <c r="L128" s="25">
        <v>0</v>
      </c>
      <c r="M128" s="25">
        <v>5</v>
      </c>
      <c r="N128" s="26">
        <v>10</v>
      </c>
      <c r="O128" s="25">
        <v>16</v>
      </c>
      <c r="P128" s="25">
        <v>16</v>
      </c>
      <c r="Q128" s="25">
        <v>16</v>
      </c>
      <c r="R128" s="25">
        <v>15.5</v>
      </c>
      <c r="S128" s="25">
        <v>10</v>
      </c>
      <c r="T128" s="25">
        <v>15</v>
      </c>
      <c r="U128" s="26">
        <v>5</v>
      </c>
      <c r="V128" s="20">
        <v>118.5</v>
      </c>
    </row>
    <row r="129" spans="1:22" ht="43.8" thickBot="1">
      <c r="A129" s="14"/>
      <c r="B129" s="14" t="s">
        <v>299</v>
      </c>
      <c r="C129" s="15">
        <v>86127</v>
      </c>
      <c r="D129" s="15">
        <v>17519163</v>
      </c>
      <c r="E129" s="14" t="s">
        <v>300</v>
      </c>
      <c r="F129" s="16" t="s">
        <v>13</v>
      </c>
      <c r="G129" s="14" t="s">
        <v>40</v>
      </c>
      <c r="H129" s="14"/>
      <c r="I129" s="17">
        <v>10</v>
      </c>
      <c r="J129" s="17">
        <v>7</v>
      </c>
      <c r="K129" s="17">
        <v>5</v>
      </c>
      <c r="L129" s="17">
        <v>5</v>
      </c>
      <c r="M129" s="17">
        <v>10</v>
      </c>
      <c r="N129" s="18">
        <v>5</v>
      </c>
      <c r="O129" s="17">
        <v>8</v>
      </c>
      <c r="P129" s="17">
        <v>6</v>
      </c>
      <c r="Q129" s="17">
        <v>12</v>
      </c>
      <c r="R129" s="17">
        <v>9.5</v>
      </c>
      <c r="S129" s="17">
        <v>11</v>
      </c>
      <c r="T129" s="17">
        <v>25</v>
      </c>
      <c r="U129" s="18">
        <v>5</v>
      </c>
      <c r="V129" s="20">
        <v>118.5</v>
      </c>
    </row>
    <row r="130" spans="1:22" ht="43.8" thickBot="1">
      <c r="A130" s="23"/>
      <c r="B130" s="23" t="s">
        <v>373</v>
      </c>
      <c r="C130" s="22">
        <v>109961</v>
      </c>
      <c r="D130" s="22">
        <v>24122995</v>
      </c>
      <c r="E130" s="23" t="s">
        <v>374</v>
      </c>
      <c r="F130" s="24" t="s">
        <v>13</v>
      </c>
      <c r="G130" s="23" t="s">
        <v>14</v>
      </c>
      <c r="H130" s="21"/>
      <c r="I130" s="25">
        <v>10</v>
      </c>
      <c r="J130" s="25">
        <v>5</v>
      </c>
      <c r="K130" s="25">
        <v>0</v>
      </c>
      <c r="L130" s="25">
        <v>5</v>
      </c>
      <c r="M130" s="25">
        <v>0</v>
      </c>
      <c r="N130" s="26">
        <v>10</v>
      </c>
      <c r="O130" s="25">
        <v>16</v>
      </c>
      <c r="P130" s="25">
        <v>16</v>
      </c>
      <c r="Q130" s="25">
        <v>16</v>
      </c>
      <c r="R130" s="25">
        <v>15.5</v>
      </c>
      <c r="S130" s="25">
        <v>16</v>
      </c>
      <c r="T130" s="25">
        <v>8</v>
      </c>
      <c r="U130" s="26">
        <v>1</v>
      </c>
      <c r="V130" s="20">
        <v>118.5</v>
      </c>
    </row>
    <row r="131" spans="1:22" ht="43.8" thickBot="1">
      <c r="A131" s="14"/>
      <c r="B131" s="14" t="s">
        <v>671</v>
      </c>
      <c r="C131" s="15">
        <v>111793</v>
      </c>
      <c r="D131" s="15">
        <v>24152354</v>
      </c>
      <c r="E131" s="14" t="s">
        <v>672</v>
      </c>
      <c r="F131" s="16" t="s">
        <v>13</v>
      </c>
      <c r="G131" s="14" t="s">
        <v>14</v>
      </c>
      <c r="H131" s="14"/>
      <c r="I131" s="17">
        <v>10</v>
      </c>
      <c r="J131" s="17">
        <v>5</v>
      </c>
      <c r="K131" s="17">
        <v>10</v>
      </c>
      <c r="L131" s="17">
        <v>5</v>
      </c>
      <c r="M131" s="17">
        <v>5</v>
      </c>
      <c r="N131" s="18">
        <v>2</v>
      </c>
      <c r="O131" s="17">
        <v>9</v>
      </c>
      <c r="P131" s="17">
        <v>9</v>
      </c>
      <c r="Q131" s="17">
        <v>16</v>
      </c>
      <c r="R131" s="17">
        <v>10.5</v>
      </c>
      <c r="S131" s="17">
        <v>7</v>
      </c>
      <c r="T131" s="17">
        <v>25</v>
      </c>
      <c r="U131" s="18">
        <v>5</v>
      </c>
      <c r="V131" s="20">
        <v>118.5</v>
      </c>
    </row>
    <row r="132" spans="1:22" ht="43.8" thickBot="1">
      <c r="A132" s="23"/>
      <c r="B132" s="23" t="s">
        <v>683</v>
      </c>
      <c r="C132" s="22">
        <v>113480</v>
      </c>
      <c r="D132" s="22">
        <v>24176477</v>
      </c>
      <c r="E132" s="23" t="s">
        <v>684</v>
      </c>
      <c r="F132" s="24" t="s">
        <v>13</v>
      </c>
      <c r="G132" s="23" t="s">
        <v>40</v>
      </c>
      <c r="H132" s="21"/>
      <c r="I132" s="25">
        <v>0</v>
      </c>
      <c r="J132" s="25">
        <v>5</v>
      </c>
      <c r="K132" s="25">
        <v>10</v>
      </c>
      <c r="L132" s="25">
        <v>0</v>
      </c>
      <c r="M132" s="25">
        <v>5</v>
      </c>
      <c r="N132" s="26">
        <v>5</v>
      </c>
      <c r="O132" s="25">
        <v>8</v>
      </c>
      <c r="P132" s="25">
        <v>16</v>
      </c>
      <c r="Q132" s="25">
        <v>11</v>
      </c>
      <c r="R132" s="25">
        <v>13</v>
      </c>
      <c r="S132" s="25">
        <v>16</v>
      </c>
      <c r="T132" s="25">
        <v>25</v>
      </c>
      <c r="U132" s="26">
        <v>5</v>
      </c>
      <c r="V132" s="20">
        <v>119</v>
      </c>
    </row>
    <row r="133" spans="1:22" ht="43.8" thickBot="1">
      <c r="A133" s="14"/>
      <c r="B133" s="14" t="s">
        <v>303</v>
      </c>
      <c r="C133" s="15">
        <v>103958</v>
      </c>
      <c r="D133" s="15">
        <v>24032436</v>
      </c>
      <c r="E133" s="14" t="s">
        <v>304</v>
      </c>
      <c r="F133" s="16" t="s">
        <v>13</v>
      </c>
      <c r="G133" s="14" t="s">
        <v>14</v>
      </c>
      <c r="H133" s="14"/>
      <c r="I133" s="17">
        <v>5</v>
      </c>
      <c r="J133" s="17">
        <v>9</v>
      </c>
      <c r="K133" s="17">
        <v>0</v>
      </c>
      <c r="L133" s="17">
        <v>10</v>
      </c>
      <c r="M133" s="17">
        <v>10</v>
      </c>
      <c r="N133" s="18">
        <v>2</v>
      </c>
      <c r="O133" s="17">
        <v>5</v>
      </c>
      <c r="P133" s="17">
        <v>16</v>
      </c>
      <c r="Q133" s="17">
        <v>13</v>
      </c>
      <c r="R133" s="17">
        <v>6.5</v>
      </c>
      <c r="S133" s="17">
        <v>16</v>
      </c>
      <c r="T133" s="17">
        <v>25</v>
      </c>
      <c r="U133" s="18">
        <v>2</v>
      </c>
      <c r="V133" s="20">
        <v>119.5</v>
      </c>
    </row>
    <row r="134" spans="1:22" ht="43.8" thickBot="1">
      <c r="A134" s="23"/>
      <c r="B134" s="23" t="s">
        <v>643</v>
      </c>
      <c r="C134" s="22">
        <v>107585</v>
      </c>
      <c r="D134" s="22">
        <v>24086275</v>
      </c>
      <c r="E134" s="23" t="s">
        <v>644</v>
      </c>
      <c r="F134" s="24" t="s">
        <v>13</v>
      </c>
      <c r="G134" s="23" t="s">
        <v>40</v>
      </c>
      <c r="H134" s="21"/>
      <c r="I134" s="25">
        <v>5</v>
      </c>
      <c r="J134" s="25">
        <v>7</v>
      </c>
      <c r="K134" s="25">
        <v>0</v>
      </c>
      <c r="L134" s="25">
        <v>10</v>
      </c>
      <c r="M134" s="25">
        <v>0</v>
      </c>
      <c r="N134" s="26">
        <v>10</v>
      </c>
      <c r="O134" s="25">
        <v>13</v>
      </c>
      <c r="P134" s="25">
        <v>16</v>
      </c>
      <c r="Q134" s="25">
        <v>14</v>
      </c>
      <c r="R134" s="25">
        <v>12</v>
      </c>
      <c r="S134" s="25">
        <v>7</v>
      </c>
      <c r="T134" s="25">
        <v>11</v>
      </c>
      <c r="U134" s="26">
        <v>15</v>
      </c>
      <c r="V134" s="20">
        <v>120</v>
      </c>
    </row>
    <row r="135" spans="1:22" ht="43.8" thickBot="1">
      <c r="A135" s="14"/>
      <c r="B135" s="14" t="s">
        <v>655</v>
      </c>
      <c r="C135" s="15">
        <v>111083</v>
      </c>
      <c r="D135" s="15">
        <v>24142120</v>
      </c>
      <c r="E135" s="14" t="s">
        <v>656</v>
      </c>
      <c r="F135" s="16" t="s">
        <v>13</v>
      </c>
      <c r="G135" s="14" t="s">
        <v>20</v>
      </c>
      <c r="H135" s="14"/>
      <c r="I135" s="17">
        <v>10</v>
      </c>
      <c r="J135" s="17">
        <v>5</v>
      </c>
      <c r="K135" s="17">
        <v>10</v>
      </c>
      <c r="L135" s="17">
        <v>5</v>
      </c>
      <c r="M135" s="17">
        <v>5</v>
      </c>
      <c r="N135" s="18">
        <v>10</v>
      </c>
      <c r="O135" s="17">
        <v>7</v>
      </c>
      <c r="P135" s="17">
        <v>16</v>
      </c>
      <c r="Q135" s="17">
        <v>14</v>
      </c>
      <c r="R135" s="17">
        <v>15</v>
      </c>
      <c r="S135" s="17">
        <v>7</v>
      </c>
      <c r="T135" s="17">
        <v>15</v>
      </c>
      <c r="U135" s="18">
        <v>1</v>
      </c>
      <c r="V135" s="20">
        <v>120</v>
      </c>
    </row>
    <row r="136" spans="1:22" ht="43.8" thickBot="1">
      <c r="A136" s="23"/>
      <c r="B136" s="23" t="s">
        <v>273</v>
      </c>
      <c r="C136" s="22">
        <v>107195</v>
      </c>
      <c r="D136" s="22">
        <v>24079679</v>
      </c>
      <c r="E136" s="23" t="s">
        <v>274</v>
      </c>
      <c r="F136" s="24" t="s">
        <v>13</v>
      </c>
      <c r="G136" s="23" t="s">
        <v>40</v>
      </c>
      <c r="H136" s="21"/>
      <c r="I136" s="25">
        <v>5</v>
      </c>
      <c r="J136" s="25">
        <v>5</v>
      </c>
      <c r="K136" s="25">
        <v>5</v>
      </c>
      <c r="L136" s="25">
        <v>0</v>
      </c>
      <c r="M136" s="25">
        <v>5</v>
      </c>
      <c r="N136" s="26">
        <v>10</v>
      </c>
      <c r="O136" s="25">
        <v>7</v>
      </c>
      <c r="P136" s="25">
        <v>16</v>
      </c>
      <c r="Q136" s="25">
        <v>14</v>
      </c>
      <c r="R136" s="25">
        <v>12.5</v>
      </c>
      <c r="S136" s="25">
        <v>16</v>
      </c>
      <c r="T136" s="25">
        <v>25</v>
      </c>
      <c r="U136" s="26">
        <v>0</v>
      </c>
      <c r="V136" s="20">
        <v>120.5</v>
      </c>
    </row>
    <row r="137" spans="1:22" ht="43.8" thickBot="1">
      <c r="A137" s="14"/>
      <c r="B137" s="14" t="s">
        <v>363</v>
      </c>
      <c r="C137" s="15">
        <v>86155</v>
      </c>
      <c r="D137" s="15">
        <v>17520472</v>
      </c>
      <c r="E137" s="14" t="s">
        <v>364</v>
      </c>
      <c r="F137" s="16" t="s">
        <v>13</v>
      </c>
      <c r="G137" s="14" t="s">
        <v>14</v>
      </c>
      <c r="H137" s="14"/>
      <c r="I137" s="17">
        <v>5</v>
      </c>
      <c r="J137" s="17">
        <v>5</v>
      </c>
      <c r="K137" s="17">
        <v>5</v>
      </c>
      <c r="L137" s="17">
        <v>5</v>
      </c>
      <c r="M137" s="17">
        <v>10</v>
      </c>
      <c r="N137" s="18">
        <v>0</v>
      </c>
      <c r="O137" s="17">
        <v>6</v>
      </c>
      <c r="P137" s="17">
        <v>16</v>
      </c>
      <c r="Q137" s="17">
        <v>16</v>
      </c>
      <c r="R137" s="17">
        <v>10.5</v>
      </c>
      <c r="S137" s="17">
        <v>16</v>
      </c>
      <c r="T137" s="17">
        <v>25</v>
      </c>
      <c r="U137" s="18">
        <v>1</v>
      </c>
      <c r="V137" s="20">
        <v>120.5</v>
      </c>
    </row>
    <row r="138" spans="1:22" ht="43.8" thickBot="1">
      <c r="A138" s="23"/>
      <c r="B138" s="23" t="s">
        <v>83</v>
      </c>
      <c r="C138" s="22">
        <v>103070</v>
      </c>
      <c r="D138" s="22">
        <v>24035904</v>
      </c>
      <c r="E138" s="23" t="s">
        <v>84</v>
      </c>
      <c r="F138" s="24" t="s">
        <v>13</v>
      </c>
      <c r="G138" s="23" t="s">
        <v>20</v>
      </c>
      <c r="H138" s="21"/>
      <c r="I138" s="25">
        <v>5</v>
      </c>
      <c r="J138" s="25">
        <v>5</v>
      </c>
      <c r="K138" s="25">
        <v>5</v>
      </c>
      <c r="L138" s="25">
        <v>5</v>
      </c>
      <c r="M138" s="25">
        <v>5</v>
      </c>
      <c r="N138" s="26">
        <v>5</v>
      </c>
      <c r="O138" s="25">
        <v>16</v>
      </c>
      <c r="P138" s="25">
        <v>6</v>
      </c>
      <c r="Q138" s="25">
        <v>11</v>
      </c>
      <c r="R138" s="25">
        <v>10.5</v>
      </c>
      <c r="S138" s="25">
        <v>7</v>
      </c>
      <c r="T138" s="25">
        <v>25</v>
      </c>
      <c r="U138" s="26">
        <v>15</v>
      </c>
      <c r="V138" s="20">
        <v>120.5</v>
      </c>
    </row>
    <row r="139" spans="1:22" ht="43.8" thickBot="1">
      <c r="A139" s="14"/>
      <c r="B139" s="14" t="s">
        <v>319</v>
      </c>
      <c r="C139" s="15">
        <v>63156</v>
      </c>
      <c r="D139" s="15">
        <v>17300288</v>
      </c>
      <c r="E139" s="14" t="s">
        <v>320</v>
      </c>
      <c r="F139" s="16" t="s">
        <v>13</v>
      </c>
      <c r="G139" s="14" t="s">
        <v>20</v>
      </c>
      <c r="H139" s="14"/>
      <c r="I139" s="17">
        <v>7</v>
      </c>
      <c r="J139" s="17">
        <v>0</v>
      </c>
      <c r="K139" s="17">
        <v>5</v>
      </c>
      <c r="L139" s="17">
        <v>5</v>
      </c>
      <c r="M139" s="17">
        <v>10</v>
      </c>
      <c r="N139" s="18">
        <v>5</v>
      </c>
      <c r="O139" s="17">
        <v>6</v>
      </c>
      <c r="P139" s="17">
        <v>16</v>
      </c>
      <c r="Q139" s="17">
        <v>13</v>
      </c>
      <c r="R139" s="17">
        <v>15.5</v>
      </c>
      <c r="S139" s="17">
        <v>13</v>
      </c>
      <c r="T139" s="17">
        <v>25</v>
      </c>
      <c r="U139" s="18">
        <v>0</v>
      </c>
      <c r="V139" s="20">
        <v>120.5</v>
      </c>
    </row>
    <row r="140" spans="1:22" ht="43.8" thickBot="1">
      <c r="A140" s="23"/>
      <c r="B140" s="23" t="s">
        <v>337</v>
      </c>
      <c r="C140" s="22">
        <v>113840</v>
      </c>
      <c r="D140" s="22">
        <v>24182257</v>
      </c>
      <c r="E140" s="23" t="s">
        <v>338</v>
      </c>
      <c r="F140" s="24" t="s">
        <v>13</v>
      </c>
      <c r="G140" s="23" t="s">
        <v>14</v>
      </c>
      <c r="H140" s="21"/>
      <c r="I140" s="25">
        <v>10</v>
      </c>
      <c r="J140" s="25">
        <v>5</v>
      </c>
      <c r="K140" s="25">
        <v>5</v>
      </c>
      <c r="L140" s="25">
        <v>5</v>
      </c>
      <c r="M140" s="25">
        <v>5</v>
      </c>
      <c r="N140" s="26">
        <v>5</v>
      </c>
      <c r="O140" s="25">
        <v>5</v>
      </c>
      <c r="P140" s="25">
        <v>16</v>
      </c>
      <c r="Q140" s="25">
        <v>15</v>
      </c>
      <c r="R140" s="25">
        <v>16</v>
      </c>
      <c r="S140" s="25">
        <v>8</v>
      </c>
      <c r="T140" s="25">
        <v>25</v>
      </c>
      <c r="U140" s="26">
        <v>1</v>
      </c>
      <c r="V140" s="20">
        <v>121</v>
      </c>
    </row>
    <row r="141" spans="1:22" ht="43.8" thickBot="1">
      <c r="A141" s="14"/>
      <c r="B141" s="14" t="s">
        <v>619</v>
      </c>
      <c r="C141" s="15">
        <v>110759</v>
      </c>
      <c r="D141" s="15">
        <v>24136153</v>
      </c>
      <c r="E141" s="14" t="s">
        <v>620</v>
      </c>
      <c r="F141" s="16" t="s">
        <v>13</v>
      </c>
      <c r="G141" s="14" t="s">
        <v>14</v>
      </c>
      <c r="H141" s="14"/>
      <c r="I141" s="17">
        <v>10</v>
      </c>
      <c r="J141" s="17">
        <v>5</v>
      </c>
      <c r="K141" s="17">
        <v>0</v>
      </c>
      <c r="L141" s="17">
        <v>10</v>
      </c>
      <c r="M141" s="17">
        <v>10</v>
      </c>
      <c r="N141" s="18">
        <v>2</v>
      </c>
      <c r="O141" s="17">
        <v>7</v>
      </c>
      <c r="P141" s="17">
        <v>14</v>
      </c>
      <c r="Q141" s="17">
        <v>11</v>
      </c>
      <c r="R141" s="17">
        <v>16</v>
      </c>
      <c r="S141" s="17">
        <v>16</v>
      </c>
      <c r="T141" s="17">
        <v>15</v>
      </c>
      <c r="U141" s="18">
        <v>5</v>
      </c>
      <c r="V141" s="20">
        <v>121</v>
      </c>
    </row>
    <row r="142" spans="1:22" ht="43.8" thickBot="1">
      <c r="A142" s="23"/>
      <c r="B142" s="23" t="s">
        <v>527</v>
      </c>
      <c r="C142" s="22">
        <v>107309</v>
      </c>
      <c r="D142" s="22">
        <v>24080886</v>
      </c>
      <c r="E142" s="23" t="s">
        <v>528</v>
      </c>
      <c r="F142" s="24" t="s">
        <v>13</v>
      </c>
      <c r="G142" s="23" t="s">
        <v>20</v>
      </c>
      <c r="H142" s="21"/>
      <c r="I142" s="25">
        <v>0</v>
      </c>
      <c r="J142" s="25">
        <v>0</v>
      </c>
      <c r="K142" s="25">
        <v>0</v>
      </c>
      <c r="L142" s="25">
        <v>10</v>
      </c>
      <c r="M142" s="25">
        <v>5</v>
      </c>
      <c r="N142" s="26">
        <v>7</v>
      </c>
      <c r="O142" s="25">
        <v>16</v>
      </c>
      <c r="P142" s="25">
        <v>12</v>
      </c>
      <c r="Q142" s="25">
        <v>16</v>
      </c>
      <c r="R142" s="25">
        <v>12</v>
      </c>
      <c r="S142" s="25">
        <v>3</v>
      </c>
      <c r="T142" s="25">
        <v>25</v>
      </c>
      <c r="U142" s="26">
        <v>15</v>
      </c>
      <c r="V142" s="20">
        <v>121</v>
      </c>
    </row>
    <row r="143" spans="1:22" ht="43.8" thickBot="1">
      <c r="A143" s="14"/>
      <c r="B143" s="14" t="s">
        <v>607</v>
      </c>
      <c r="C143" s="15">
        <v>26587</v>
      </c>
      <c r="D143" s="15">
        <v>14055435</v>
      </c>
      <c r="E143" s="14" t="s">
        <v>608</v>
      </c>
      <c r="F143" s="16" t="s">
        <v>13</v>
      </c>
      <c r="G143" s="14" t="s">
        <v>17</v>
      </c>
      <c r="H143" s="14"/>
      <c r="I143" s="17">
        <v>5</v>
      </c>
      <c r="J143" s="17">
        <v>2</v>
      </c>
      <c r="K143" s="17">
        <v>0</v>
      </c>
      <c r="L143" s="17">
        <v>0</v>
      </c>
      <c r="M143" s="17">
        <v>5</v>
      </c>
      <c r="N143" s="18">
        <v>7</v>
      </c>
      <c r="O143" s="17">
        <v>14</v>
      </c>
      <c r="P143" s="17">
        <v>15</v>
      </c>
      <c r="Q143" s="17">
        <v>16</v>
      </c>
      <c r="R143" s="17">
        <v>15.5</v>
      </c>
      <c r="S143" s="17">
        <v>12</v>
      </c>
      <c r="T143" s="17">
        <v>25</v>
      </c>
      <c r="U143" s="18">
        <v>5</v>
      </c>
      <c r="V143" s="20">
        <v>121.5</v>
      </c>
    </row>
    <row r="144" spans="1:22" ht="58.2" thickBot="1">
      <c r="A144" s="23"/>
      <c r="B144" s="23" t="s">
        <v>181</v>
      </c>
      <c r="C144" s="22">
        <v>102999</v>
      </c>
      <c r="D144" s="22">
        <v>24036193</v>
      </c>
      <c r="E144" s="23" t="s">
        <v>182</v>
      </c>
      <c r="F144" s="24" t="s">
        <v>13</v>
      </c>
      <c r="G144" s="23" t="s">
        <v>40</v>
      </c>
      <c r="H144" s="21"/>
      <c r="I144" s="25">
        <v>10</v>
      </c>
      <c r="J144" s="25">
        <v>7</v>
      </c>
      <c r="K144" s="25">
        <v>10</v>
      </c>
      <c r="L144" s="25">
        <v>0</v>
      </c>
      <c r="M144" s="25">
        <v>0</v>
      </c>
      <c r="N144" s="26">
        <v>6</v>
      </c>
      <c r="O144" s="25">
        <v>8</v>
      </c>
      <c r="P144" s="27">
        <v>20</v>
      </c>
      <c r="Q144" s="25">
        <v>14</v>
      </c>
      <c r="R144" s="25">
        <v>6.5</v>
      </c>
      <c r="S144" s="25">
        <v>10</v>
      </c>
      <c r="T144" s="25">
        <v>25</v>
      </c>
      <c r="U144" s="26">
        <v>5</v>
      </c>
      <c r="V144" s="20">
        <v>121.5</v>
      </c>
    </row>
    <row r="145" spans="1:22" ht="43.8" thickBot="1">
      <c r="A145" s="14"/>
      <c r="B145" s="14" t="s">
        <v>445</v>
      </c>
      <c r="C145" s="15">
        <v>104553</v>
      </c>
      <c r="D145" s="15">
        <v>24035921</v>
      </c>
      <c r="E145" s="14" t="s">
        <v>446</v>
      </c>
      <c r="F145" s="16" t="s">
        <v>13</v>
      </c>
      <c r="G145" s="14" t="s">
        <v>40</v>
      </c>
      <c r="H145" s="14"/>
      <c r="I145" s="17">
        <v>5</v>
      </c>
      <c r="J145" s="17">
        <v>10</v>
      </c>
      <c r="K145" s="17">
        <v>0</v>
      </c>
      <c r="L145" s="17">
        <v>0</v>
      </c>
      <c r="M145" s="17">
        <v>0</v>
      </c>
      <c r="N145" s="18">
        <v>10</v>
      </c>
      <c r="O145" s="17">
        <v>9</v>
      </c>
      <c r="P145" s="17">
        <v>16</v>
      </c>
      <c r="Q145" s="17">
        <v>16</v>
      </c>
      <c r="R145" s="17">
        <v>12.5</v>
      </c>
      <c r="S145" s="17">
        <v>16</v>
      </c>
      <c r="T145" s="17">
        <v>23</v>
      </c>
      <c r="U145" s="18">
        <v>4</v>
      </c>
      <c r="V145" s="20">
        <v>121.5</v>
      </c>
    </row>
    <row r="146" spans="1:22" ht="43.8" thickBot="1">
      <c r="A146" s="23"/>
      <c r="B146" s="23" t="s">
        <v>455</v>
      </c>
      <c r="C146" s="22">
        <v>104507</v>
      </c>
      <c r="D146" s="22">
        <v>17658512</v>
      </c>
      <c r="E146" s="23" t="s">
        <v>456</v>
      </c>
      <c r="F146" s="24" t="s">
        <v>13</v>
      </c>
      <c r="G146" s="23" t="s">
        <v>20</v>
      </c>
      <c r="H146" s="21"/>
      <c r="I146" s="25">
        <v>5</v>
      </c>
      <c r="J146" s="25">
        <v>7</v>
      </c>
      <c r="K146" s="25">
        <v>10</v>
      </c>
      <c r="L146" s="25">
        <v>5</v>
      </c>
      <c r="M146" s="25">
        <v>0</v>
      </c>
      <c r="N146" s="26">
        <v>5</v>
      </c>
      <c r="O146" s="25">
        <v>8</v>
      </c>
      <c r="P146" s="25">
        <v>16</v>
      </c>
      <c r="Q146" s="25">
        <v>16</v>
      </c>
      <c r="R146" s="25">
        <v>9.5</v>
      </c>
      <c r="S146" s="25">
        <v>11</v>
      </c>
      <c r="T146" s="25">
        <v>18</v>
      </c>
      <c r="U146" s="26">
        <v>11</v>
      </c>
      <c r="V146" s="20">
        <v>121.5</v>
      </c>
    </row>
    <row r="147" spans="1:22" ht="43.8" thickBot="1">
      <c r="A147" s="14"/>
      <c r="B147" s="14" t="s">
        <v>235</v>
      </c>
      <c r="C147" s="15">
        <v>113614</v>
      </c>
      <c r="D147" s="15">
        <v>24178194</v>
      </c>
      <c r="E147" s="14" t="s">
        <v>236</v>
      </c>
      <c r="F147" s="16" t="s">
        <v>13</v>
      </c>
      <c r="G147" s="14" t="s">
        <v>17</v>
      </c>
      <c r="H147" s="14"/>
      <c r="I147" s="17">
        <v>7</v>
      </c>
      <c r="J147" s="17">
        <v>2</v>
      </c>
      <c r="K147" s="17">
        <v>0</v>
      </c>
      <c r="L147" s="17">
        <v>10</v>
      </c>
      <c r="M147" s="17">
        <v>10</v>
      </c>
      <c r="N147" s="18">
        <v>10</v>
      </c>
      <c r="O147" s="17">
        <v>6</v>
      </c>
      <c r="P147" s="17">
        <v>15</v>
      </c>
      <c r="Q147" s="17">
        <v>16</v>
      </c>
      <c r="R147" s="17">
        <v>13</v>
      </c>
      <c r="S147" s="17">
        <v>4</v>
      </c>
      <c r="T147" s="17">
        <v>25</v>
      </c>
      <c r="U147" s="18">
        <v>4</v>
      </c>
      <c r="V147" s="20">
        <v>122</v>
      </c>
    </row>
    <row r="148" spans="1:22" ht="43.8" thickBot="1">
      <c r="A148" s="23"/>
      <c r="B148" s="23" t="s">
        <v>717</v>
      </c>
      <c r="C148" s="22">
        <v>109651</v>
      </c>
      <c r="D148" s="22">
        <v>24119646</v>
      </c>
      <c r="E148" s="23" t="s">
        <v>718</v>
      </c>
      <c r="F148" s="24" t="s">
        <v>13</v>
      </c>
      <c r="G148" s="23" t="s">
        <v>40</v>
      </c>
      <c r="H148" s="21"/>
      <c r="I148" s="25">
        <v>10</v>
      </c>
      <c r="J148" s="25">
        <v>5</v>
      </c>
      <c r="K148" s="25">
        <v>0</v>
      </c>
      <c r="L148" s="25">
        <v>5</v>
      </c>
      <c r="M148" s="25">
        <v>0</v>
      </c>
      <c r="N148" s="26">
        <v>10</v>
      </c>
      <c r="O148" s="25">
        <v>10</v>
      </c>
      <c r="P148" s="25">
        <v>16</v>
      </c>
      <c r="Q148" s="25">
        <v>16</v>
      </c>
      <c r="R148" s="25">
        <v>13</v>
      </c>
      <c r="S148" s="25">
        <v>12</v>
      </c>
      <c r="T148" s="25">
        <v>10</v>
      </c>
      <c r="U148" s="26">
        <v>15</v>
      </c>
      <c r="V148" s="20">
        <v>122</v>
      </c>
    </row>
    <row r="149" spans="1:22" ht="43.8" thickBot="1">
      <c r="A149" s="14"/>
      <c r="B149" s="14" t="s">
        <v>213</v>
      </c>
      <c r="C149" s="15">
        <v>107776</v>
      </c>
      <c r="D149" s="15">
        <v>24089624</v>
      </c>
      <c r="E149" s="14" t="s">
        <v>214</v>
      </c>
      <c r="F149" s="16" t="s">
        <v>13</v>
      </c>
      <c r="G149" s="14" t="s">
        <v>17</v>
      </c>
      <c r="H149" s="14"/>
      <c r="I149" s="17">
        <v>7</v>
      </c>
      <c r="J149" s="17">
        <v>7</v>
      </c>
      <c r="K149" s="17">
        <v>5</v>
      </c>
      <c r="L149" s="17">
        <v>0</v>
      </c>
      <c r="M149" s="17">
        <v>10</v>
      </c>
      <c r="N149" s="18">
        <v>10</v>
      </c>
      <c r="O149" s="17">
        <v>5</v>
      </c>
      <c r="P149" s="17">
        <v>6</v>
      </c>
      <c r="Q149" s="17">
        <v>16</v>
      </c>
      <c r="R149" s="17">
        <v>12.5</v>
      </c>
      <c r="S149" s="17">
        <v>4</v>
      </c>
      <c r="T149" s="17">
        <v>25</v>
      </c>
      <c r="U149" s="18">
        <v>15</v>
      </c>
      <c r="V149" s="20">
        <v>122.5</v>
      </c>
    </row>
    <row r="150" spans="1:22" ht="43.8" thickBot="1">
      <c r="A150" s="23"/>
      <c r="B150" s="23" t="s">
        <v>233</v>
      </c>
      <c r="C150" s="22">
        <v>86879</v>
      </c>
      <c r="D150" s="22">
        <v>17533290</v>
      </c>
      <c r="E150" s="23" t="s">
        <v>234</v>
      </c>
      <c r="F150" s="24" t="s">
        <v>13</v>
      </c>
      <c r="G150" s="23" t="s">
        <v>17</v>
      </c>
      <c r="H150" s="21"/>
      <c r="I150" s="25">
        <v>10</v>
      </c>
      <c r="J150" s="25">
        <v>5</v>
      </c>
      <c r="K150" s="25">
        <v>5</v>
      </c>
      <c r="L150" s="25">
        <v>10</v>
      </c>
      <c r="M150" s="25">
        <v>10</v>
      </c>
      <c r="N150" s="26">
        <v>10</v>
      </c>
      <c r="O150" s="25">
        <v>7</v>
      </c>
      <c r="P150" s="25">
        <v>10</v>
      </c>
      <c r="Q150" s="25">
        <v>12</v>
      </c>
      <c r="R150" s="25">
        <v>6.5</v>
      </c>
      <c r="S150" s="25">
        <v>10</v>
      </c>
      <c r="T150" s="25">
        <v>15</v>
      </c>
      <c r="U150" s="26">
        <v>12</v>
      </c>
      <c r="V150" s="20">
        <v>122.5</v>
      </c>
    </row>
    <row r="151" spans="1:22" ht="43.8" thickBot="1">
      <c r="A151" s="14"/>
      <c r="B151" s="14" t="s">
        <v>267</v>
      </c>
      <c r="C151" s="15">
        <v>111737</v>
      </c>
      <c r="D151" s="15">
        <v>24151198</v>
      </c>
      <c r="E151" s="14" t="s">
        <v>268</v>
      </c>
      <c r="F151" s="16" t="s">
        <v>13</v>
      </c>
      <c r="G151" s="14" t="s">
        <v>17</v>
      </c>
      <c r="H151" s="14"/>
      <c r="I151" s="17">
        <v>10</v>
      </c>
      <c r="J151" s="17">
        <v>5</v>
      </c>
      <c r="K151" s="17">
        <v>10</v>
      </c>
      <c r="L151" s="17">
        <v>5</v>
      </c>
      <c r="M151" s="17">
        <v>0</v>
      </c>
      <c r="N151" s="18">
        <v>2</v>
      </c>
      <c r="O151" s="17">
        <v>0</v>
      </c>
      <c r="P151" s="17">
        <v>17</v>
      </c>
      <c r="Q151" s="17">
        <v>16</v>
      </c>
      <c r="R151" s="17">
        <v>15.5</v>
      </c>
      <c r="S151" s="17">
        <v>16</v>
      </c>
      <c r="T151" s="17">
        <v>25</v>
      </c>
      <c r="U151" s="18">
        <v>1</v>
      </c>
      <c r="V151" s="20">
        <v>122.5</v>
      </c>
    </row>
    <row r="152" spans="1:22" ht="43.8" thickBot="1">
      <c r="A152" s="23"/>
      <c r="B152" s="23" t="s">
        <v>653</v>
      </c>
      <c r="C152" s="22">
        <v>110765</v>
      </c>
      <c r="D152" s="22">
        <v>24135949</v>
      </c>
      <c r="E152" s="23" t="s">
        <v>654</v>
      </c>
      <c r="F152" s="24" t="s">
        <v>13</v>
      </c>
      <c r="G152" s="23" t="s">
        <v>27</v>
      </c>
      <c r="H152" s="21"/>
      <c r="I152" s="25">
        <v>10</v>
      </c>
      <c r="J152" s="25">
        <v>0</v>
      </c>
      <c r="K152" s="25">
        <v>10</v>
      </c>
      <c r="L152" s="25">
        <v>10</v>
      </c>
      <c r="M152" s="25">
        <v>10</v>
      </c>
      <c r="N152" s="26">
        <v>4</v>
      </c>
      <c r="O152" s="25">
        <v>8</v>
      </c>
      <c r="P152" s="25">
        <v>3</v>
      </c>
      <c r="Q152" s="25">
        <v>16</v>
      </c>
      <c r="R152" s="25">
        <v>15.5</v>
      </c>
      <c r="S152" s="25">
        <v>10</v>
      </c>
      <c r="T152" s="25">
        <v>25</v>
      </c>
      <c r="U152" s="26">
        <v>1</v>
      </c>
      <c r="V152" s="20">
        <v>122.5</v>
      </c>
    </row>
    <row r="153" spans="1:22" ht="43.8" thickBot="1">
      <c r="A153" s="14"/>
      <c r="B153" s="14" t="s">
        <v>317</v>
      </c>
      <c r="C153" s="15">
        <v>107140</v>
      </c>
      <c r="D153" s="15">
        <v>24079322</v>
      </c>
      <c r="E153" s="14" t="s">
        <v>318</v>
      </c>
      <c r="F153" s="16" t="s">
        <v>13</v>
      </c>
      <c r="G153" s="14" t="s">
        <v>17</v>
      </c>
      <c r="H153" s="14"/>
      <c r="I153" s="17">
        <v>10</v>
      </c>
      <c r="J153" s="17">
        <v>5</v>
      </c>
      <c r="K153" s="17">
        <v>5</v>
      </c>
      <c r="L153" s="17">
        <v>5</v>
      </c>
      <c r="M153" s="17">
        <v>0</v>
      </c>
      <c r="N153" s="18">
        <v>10</v>
      </c>
      <c r="O153" s="17">
        <v>6</v>
      </c>
      <c r="P153" s="17">
        <v>12</v>
      </c>
      <c r="Q153" s="17">
        <v>15</v>
      </c>
      <c r="R153" s="17">
        <v>3</v>
      </c>
      <c r="S153" s="17">
        <v>16</v>
      </c>
      <c r="T153" s="17">
        <v>25</v>
      </c>
      <c r="U153" s="18">
        <v>11</v>
      </c>
      <c r="V153" s="20">
        <v>123</v>
      </c>
    </row>
    <row r="154" spans="1:22" ht="43.8" thickBot="1">
      <c r="A154" s="23"/>
      <c r="B154" s="23" t="s">
        <v>57</v>
      </c>
      <c r="C154" s="22">
        <v>103822</v>
      </c>
      <c r="D154" s="22">
        <v>24037128</v>
      </c>
      <c r="E154" s="23" t="s">
        <v>58</v>
      </c>
      <c r="F154" s="24" t="s">
        <v>13</v>
      </c>
      <c r="G154" s="23" t="s">
        <v>20</v>
      </c>
      <c r="H154" s="21"/>
      <c r="I154" s="25">
        <v>5</v>
      </c>
      <c r="J154" s="25">
        <v>7</v>
      </c>
      <c r="K154" s="25">
        <v>0</v>
      </c>
      <c r="L154" s="25">
        <v>5</v>
      </c>
      <c r="M154" s="25">
        <v>10</v>
      </c>
      <c r="N154" s="26">
        <v>2</v>
      </c>
      <c r="O154" s="25">
        <v>7</v>
      </c>
      <c r="P154" s="25">
        <v>16</v>
      </c>
      <c r="Q154" s="25">
        <v>14</v>
      </c>
      <c r="R154" s="25">
        <v>13</v>
      </c>
      <c r="S154" s="25">
        <v>14</v>
      </c>
      <c r="T154" s="25">
        <v>25</v>
      </c>
      <c r="U154" s="26">
        <v>5</v>
      </c>
      <c r="V154" s="20">
        <v>123</v>
      </c>
    </row>
    <row r="155" spans="1:22" ht="43.8" thickBot="1">
      <c r="A155" s="14"/>
      <c r="B155" s="14" t="s">
        <v>405</v>
      </c>
      <c r="C155" s="15">
        <v>112161</v>
      </c>
      <c r="D155" s="15">
        <v>24158474</v>
      </c>
      <c r="E155" s="14" t="s">
        <v>406</v>
      </c>
      <c r="F155" s="16" t="s">
        <v>13</v>
      </c>
      <c r="G155" s="14" t="s">
        <v>20</v>
      </c>
      <c r="H155" s="14"/>
      <c r="I155" s="17">
        <v>10</v>
      </c>
      <c r="J155" s="17">
        <v>10</v>
      </c>
      <c r="K155" s="17">
        <v>10</v>
      </c>
      <c r="L155" s="17">
        <v>10</v>
      </c>
      <c r="M155" s="17">
        <v>10</v>
      </c>
      <c r="N155" s="18">
        <v>5</v>
      </c>
      <c r="O155" s="17">
        <v>5</v>
      </c>
      <c r="P155" s="17">
        <v>4</v>
      </c>
      <c r="Q155" s="17">
        <v>13</v>
      </c>
      <c r="R155" s="17">
        <v>10</v>
      </c>
      <c r="S155" s="17">
        <v>11</v>
      </c>
      <c r="T155" s="17">
        <v>25</v>
      </c>
      <c r="U155" s="18">
        <v>0</v>
      </c>
      <c r="V155" s="20">
        <v>123</v>
      </c>
    </row>
    <row r="156" spans="1:22" ht="43.8" thickBot="1">
      <c r="A156" s="23"/>
      <c r="B156" s="23" t="s">
        <v>645</v>
      </c>
      <c r="C156" s="22">
        <v>104509</v>
      </c>
      <c r="D156" s="22">
        <v>24011866</v>
      </c>
      <c r="E156" s="23" t="s">
        <v>646</v>
      </c>
      <c r="F156" s="24" t="s">
        <v>13</v>
      </c>
      <c r="G156" s="23" t="s">
        <v>17</v>
      </c>
      <c r="H156" s="21"/>
      <c r="I156" s="25">
        <v>10</v>
      </c>
      <c r="J156" s="25">
        <v>10</v>
      </c>
      <c r="K156" s="25">
        <v>0</v>
      </c>
      <c r="L156" s="25">
        <v>5</v>
      </c>
      <c r="M156" s="25">
        <v>10</v>
      </c>
      <c r="N156" s="26">
        <v>10</v>
      </c>
      <c r="O156" s="25">
        <v>2</v>
      </c>
      <c r="P156" s="25">
        <v>16</v>
      </c>
      <c r="Q156" s="25">
        <v>16</v>
      </c>
      <c r="R156" s="25">
        <v>10.5</v>
      </c>
      <c r="S156" s="25">
        <v>8</v>
      </c>
      <c r="T156" s="25">
        <v>25</v>
      </c>
      <c r="U156" s="26">
        <v>1</v>
      </c>
      <c r="V156" s="20">
        <v>123.5</v>
      </c>
    </row>
    <row r="157" spans="1:22" ht="43.8" thickBot="1">
      <c r="A157" s="14"/>
      <c r="B157" s="14" t="s">
        <v>59</v>
      </c>
      <c r="C157" s="15">
        <v>107614</v>
      </c>
      <c r="D157" s="15">
        <v>24086411</v>
      </c>
      <c r="E157" s="14" t="s">
        <v>60</v>
      </c>
      <c r="F157" s="16" t="s">
        <v>13</v>
      </c>
      <c r="G157" s="14" t="s">
        <v>14</v>
      </c>
      <c r="H157" s="14"/>
      <c r="I157" s="17">
        <v>5</v>
      </c>
      <c r="J157" s="17">
        <v>5</v>
      </c>
      <c r="K157" s="17">
        <v>10</v>
      </c>
      <c r="L157" s="17">
        <v>5</v>
      </c>
      <c r="M157" s="17">
        <v>5</v>
      </c>
      <c r="N157" s="17">
        <v>10</v>
      </c>
      <c r="O157" s="17">
        <v>6</v>
      </c>
      <c r="P157" s="17">
        <v>10</v>
      </c>
      <c r="Q157" s="17">
        <v>15</v>
      </c>
      <c r="R157" s="17">
        <v>6.5</v>
      </c>
      <c r="S157" s="17">
        <v>6</v>
      </c>
      <c r="T157" s="17">
        <v>25</v>
      </c>
      <c r="U157" s="18">
        <v>15</v>
      </c>
      <c r="V157" s="20">
        <v>123.5</v>
      </c>
    </row>
    <row r="158" spans="1:22" ht="43.8" thickBot="1">
      <c r="A158" s="23"/>
      <c r="B158" s="23" t="s">
        <v>315</v>
      </c>
      <c r="C158" s="22">
        <v>112784</v>
      </c>
      <c r="D158" s="22">
        <v>24167246</v>
      </c>
      <c r="E158" s="23" t="s">
        <v>316</v>
      </c>
      <c r="F158" s="24" t="s">
        <v>13</v>
      </c>
      <c r="G158" s="23" t="s">
        <v>14</v>
      </c>
      <c r="H158" s="21"/>
      <c r="I158" s="25">
        <v>10</v>
      </c>
      <c r="J158" s="25">
        <v>7</v>
      </c>
      <c r="K158" s="25">
        <v>0</v>
      </c>
      <c r="L158" s="25">
        <v>5</v>
      </c>
      <c r="M158" s="25">
        <v>5</v>
      </c>
      <c r="N158" s="25">
        <v>4</v>
      </c>
      <c r="O158" s="25">
        <v>9</v>
      </c>
      <c r="P158" s="25">
        <v>16</v>
      </c>
      <c r="Q158" s="25">
        <v>14</v>
      </c>
      <c r="R158" s="25">
        <v>15.5</v>
      </c>
      <c r="S158" s="25">
        <v>12</v>
      </c>
      <c r="T158" s="25">
        <v>25</v>
      </c>
      <c r="U158" s="26">
        <v>1</v>
      </c>
      <c r="V158" s="20">
        <v>123.5</v>
      </c>
    </row>
    <row r="159" spans="1:22" ht="43.8" thickBot="1">
      <c r="A159" s="14"/>
      <c r="B159" s="14" t="s">
        <v>581</v>
      </c>
      <c r="C159" s="15">
        <v>103699</v>
      </c>
      <c r="D159" s="15">
        <v>24037162</v>
      </c>
      <c r="E159" s="14" t="s">
        <v>582</v>
      </c>
      <c r="F159" s="16" t="s">
        <v>13</v>
      </c>
      <c r="G159" s="14" t="s">
        <v>14</v>
      </c>
      <c r="H159" s="14"/>
      <c r="I159" s="17">
        <v>7</v>
      </c>
      <c r="J159" s="17">
        <v>10</v>
      </c>
      <c r="K159" s="17">
        <v>10</v>
      </c>
      <c r="L159" s="17">
        <v>5</v>
      </c>
      <c r="M159" s="17">
        <v>10</v>
      </c>
      <c r="N159" s="17">
        <v>10</v>
      </c>
      <c r="O159" s="17">
        <v>3</v>
      </c>
      <c r="P159" s="17">
        <v>16</v>
      </c>
      <c r="Q159" s="17">
        <v>16</v>
      </c>
      <c r="R159" s="17">
        <v>13.5</v>
      </c>
      <c r="S159" s="17">
        <v>6</v>
      </c>
      <c r="T159" s="17">
        <v>2</v>
      </c>
      <c r="U159" s="18">
        <v>15</v>
      </c>
      <c r="V159" s="20">
        <v>123.5</v>
      </c>
    </row>
    <row r="160" spans="1:22" ht="43.8" thickBot="1">
      <c r="A160" s="23"/>
      <c r="B160" s="23" t="s">
        <v>227</v>
      </c>
      <c r="C160" s="22">
        <v>104262</v>
      </c>
      <c r="D160" s="22">
        <v>24036754</v>
      </c>
      <c r="E160" s="23" t="s">
        <v>228</v>
      </c>
      <c r="F160" s="24" t="s">
        <v>13</v>
      </c>
      <c r="G160" s="23" t="s">
        <v>20</v>
      </c>
      <c r="H160" s="21"/>
      <c r="I160" s="25">
        <v>10</v>
      </c>
      <c r="J160" s="25">
        <v>7</v>
      </c>
      <c r="K160" s="25">
        <v>10</v>
      </c>
      <c r="L160" s="25">
        <v>10</v>
      </c>
      <c r="M160" s="25">
        <v>0</v>
      </c>
      <c r="N160" s="25">
        <v>2</v>
      </c>
      <c r="O160" s="25">
        <v>5</v>
      </c>
      <c r="P160" s="25">
        <v>16</v>
      </c>
      <c r="Q160" s="25">
        <v>12</v>
      </c>
      <c r="R160" s="25">
        <v>15.5</v>
      </c>
      <c r="S160" s="25">
        <v>10</v>
      </c>
      <c r="T160" s="25">
        <v>25</v>
      </c>
      <c r="U160" s="26">
        <v>1</v>
      </c>
      <c r="V160" s="20">
        <v>123.5</v>
      </c>
    </row>
    <row r="161" spans="1:22" ht="43.8" thickBot="1">
      <c r="A161" s="14"/>
      <c r="B161" s="14" t="s">
        <v>631</v>
      </c>
      <c r="C161" s="15">
        <v>104627</v>
      </c>
      <c r="D161" s="15">
        <v>24036040</v>
      </c>
      <c r="E161" s="14" t="s">
        <v>632</v>
      </c>
      <c r="F161" s="16" t="s">
        <v>13</v>
      </c>
      <c r="G161" s="14" t="s">
        <v>27</v>
      </c>
      <c r="H161" s="14"/>
      <c r="I161" s="17">
        <v>10</v>
      </c>
      <c r="J161" s="17">
        <v>7</v>
      </c>
      <c r="K161" s="17">
        <v>10</v>
      </c>
      <c r="L161" s="17">
        <v>5</v>
      </c>
      <c r="M161" s="17">
        <v>10</v>
      </c>
      <c r="N161" s="17">
        <v>2</v>
      </c>
      <c r="O161" s="17">
        <v>8</v>
      </c>
      <c r="P161" s="17">
        <v>15</v>
      </c>
      <c r="Q161" s="17">
        <v>14</v>
      </c>
      <c r="R161" s="17">
        <v>10</v>
      </c>
      <c r="S161" s="17">
        <v>8</v>
      </c>
      <c r="T161" s="17">
        <v>20</v>
      </c>
      <c r="U161" s="18">
        <v>5</v>
      </c>
      <c r="V161" s="20">
        <v>124</v>
      </c>
    </row>
    <row r="162" spans="1:22" ht="43.8" thickBot="1">
      <c r="A162" s="23"/>
      <c r="B162" s="23" t="s">
        <v>665</v>
      </c>
      <c r="C162" s="22">
        <v>109877</v>
      </c>
      <c r="D162" s="22">
        <v>24122723</v>
      </c>
      <c r="E162" s="23" t="s">
        <v>666</v>
      </c>
      <c r="F162" s="24" t="s">
        <v>13</v>
      </c>
      <c r="G162" s="23" t="s">
        <v>20</v>
      </c>
      <c r="H162" s="21"/>
      <c r="I162" s="25">
        <v>5</v>
      </c>
      <c r="J162" s="25">
        <v>5</v>
      </c>
      <c r="K162" s="25">
        <v>0</v>
      </c>
      <c r="L162" s="25">
        <v>5</v>
      </c>
      <c r="M162" s="25">
        <v>10</v>
      </c>
      <c r="N162" s="25">
        <v>7</v>
      </c>
      <c r="O162" s="25">
        <v>16</v>
      </c>
      <c r="P162" s="25">
        <v>16</v>
      </c>
      <c r="Q162" s="25">
        <v>8</v>
      </c>
      <c r="R162" s="25">
        <v>13</v>
      </c>
      <c r="S162" s="25">
        <v>9</v>
      </c>
      <c r="T162" s="25">
        <v>25</v>
      </c>
      <c r="U162" s="26">
        <v>5</v>
      </c>
      <c r="V162" s="20">
        <v>124</v>
      </c>
    </row>
    <row r="163" spans="1:22" ht="43.8" thickBot="1">
      <c r="A163" s="14"/>
      <c r="B163" s="14" t="s">
        <v>231</v>
      </c>
      <c r="C163" s="15">
        <v>109949</v>
      </c>
      <c r="D163" s="15">
        <v>24122757</v>
      </c>
      <c r="E163" s="14" t="s">
        <v>232</v>
      </c>
      <c r="F163" s="16" t="s">
        <v>13</v>
      </c>
      <c r="G163" s="14" t="s">
        <v>40</v>
      </c>
      <c r="H163" s="14"/>
      <c r="I163" s="17">
        <v>10</v>
      </c>
      <c r="J163" s="17">
        <v>5</v>
      </c>
      <c r="K163" s="17">
        <v>10</v>
      </c>
      <c r="L163" s="17">
        <v>5</v>
      </c>
      <c r="M163" s="17">
        <v>0</v>
      </c>
      <c r="N163" s="17">
        <v>10</v>
      </c>
      <c r="O163" s="17">
        <v>11</v>
      </c>
      <c r="P163" s="28">
        <v>16</v>
      </c>
      <c r="Q163" s="17">
        <v>16</v>
      </c>
      <c r="R163" s="17">
        <v>13.5</v>
      </c>
      <c r="S163" s="17">
        <v>16</v>
      </c>
      <c r="T163" s="17">
        <v>11</v>
      </c>
      <c r="U163" s="18">
        <v>1</v>
      </c>
      <c r="V163" s="20">
        <v>124.5</v>
      </c>
    </row>
    <row r="164" spans="1:22" ht="43.8" thickBot="1">
      <c r="A164" s="23"/>
      <c r="B164" s="23" t="s">
        <v>333</v>
      </c>
      <c r="C164" s="22">
        <v>109681</v>
      </c>
      <c r="D164" s="22">
        <v>24119850</v>
      </c>
      <c r="E164" s="23" t="s">
        <v>334</v>
      </c>
      <c r="F164" s="24" t="s">
        <v>13</v>
      </c>
      <c r="G164" s="23" t="s">
        <v>14</v>
      </c>
      <c r="H164" s="21"/>
      <c r="I164" s="25">
        <v>5</v>
      </c>
      <c r="J164" s="25">
        <v>5</v>
      </c>
      <c r="K164" s="25">
        <v>0</v>
      </c>
      <c r="L164" s="25">
        <v>0</v>
      </c>
      <c r="M164" s="25">
        <v>0</v>
      </c>
      <c r="N164" s="26">
        <v>10</v>
      </c>
      <c r="O164" s="25">
        <v>16</v>
      </c>
      <c r="P164" s="25">
        <v>15</v>
      </c>
      <c r="Q164" s="25">
        <v>16</v>
      </c>
      <c r="R164" s="25">
        <v>13.5</v>
      </c>
      <c r="S164" s="25">
        <v>5</v>
      </c>
      <c r="T164" s="25">
        <v>25</v>
      </c>
      <c r="U164" s="26">
        <v>15</v>
      </c>
      <c r="V164" s="20">
        <v>125.5</v>
      </c>
    </row>
    <row r="165" spans="1:22" ht="43.8" thickBot="1">
      <c r="A165" s="14"/>
      <c r="B165" s="14" t="s">
        <v>431</v>
      </c>
      <c r="C165" s="15">
        <v>103756</v>
      </c>
      <c r="D165" s="15">
        <v>24036516</v>
      </c>
      <c r="E165" s="14" t="s">
        <v>432</v>
      </c>
      <c r="F165" s="16" t="s">
        <v>13</v>
      </c>
      <c r="G165" s="14" t="s">
        <v>20</v>
      </c>
      <c r="H165" s="14"/>
      <c r="I165" s="17">
        <v>5</v>
      </c>
      <c r="J165" s="17">
        <v>2</v>
      </c>
      <c r="K165" s="17">
        <v>10</v>
      </c>
      <c r="L165" s="17">
        <v>5</v>
      </c>
      <c r="M165" s="17">
        <v>5</v>
      </c>
      <c r="N165" s="18">
        <v>10</v>
      </c>
      <c r="O165" s="17">
        <v>4</v>
      </c>
      <c r="P165" s="17">
        <v>15</v>
      </c>
      <c r="Q165" s="17">
        <v>16</v>
      </c>
      <c r="R165" s="17">
        <v>15.5</v>
      </c>
      <c r="S165" s="17">
        <v>12</v>
      </c>
      <c r="T165" s="17">
        <v>25</v>
      </c>
      <c r="U165" s="18">
        <v>1</v>
      </c>
      <c r="V165" s="20">
        <v>125.5</v>
      </c>
    </row>
    <row r="166" spans="1:22" ht="43.8" thickBot="1">
      <c r="A166" s="23"/>
      <c r="B166" s="23" t="s">
        <v>535</v>
      </c>
      <c r="C166" s="22">
        <v>103128</v>
      </c>
      <c r="D166" s="22">
        <v>24037604</v>
      </c>
      <c r="E166" s="23" t="s">
        <v>536</v>
      </c>
      <c r="F166" s="24" t="s">
        <v>13</v>
      </c>
      <c r="G166" s="23" t="s">
        <v>20</v>
      </c>
      <c r="H166" s="21"/>
      <c r="I166" s="25">
        <v>5</v>
      </c>
      <c r="J166" s="25">
        <v>5</v>
      </c>
      <c r="K166" s="25">
        <v>0</v>
      </c>
      <c r="L166" s="25">
        <v>5</v>
      </c>
      <c r="M166" s="25">
        <v>5</v>
      </c>
      <c r="N166" s="26">
        <v>5</v>
      </c>
      <c r="O166" s="25">
        <v>15</v>
      </c>
      <c r="P166" s="25">
        <v>14</v>
      </c>
      <c r="Q166" s="25">
        <v>16</v>
      </c>
      <c r="R166" s="25">
        <v>13.5</v>
      </c>
      <c r="S166" s="25">
        <v>16</v>
      </c>
      <c r="T166" s="25">
        <v>11</v>
      </c>
      <c r="U166" s="26">
        <v>15</v>
      </c>
      <c r="V166" s="20">
        <v>125.5</v>
      </c>
    </row>
    <row r="167" spans="1:22" ht="43.8" thickBot="1">
      <c r="A167" s="14"/>
      <c r="B167" s="14" t="s">
        <v>255</v>
      </c>
      <c r="C167" s="15">
        <v>109632</v>
      </c>
      <c r="D167" s="15">
        <v>24119867</v>
      </c>
      <c r="E167" s="14" t="s">
        <v>256</v>
      </c>
      <c r="F167" s="16" t="s">
        <v>13</v>
      </c>
      <c r="G167" s="14" t="s">
        <v>20</v>
      </c>
      <c r="H167" s="14"/>
      <c r="I167" s="17">
        <v>10</v>
      </c>
      <c r="J167" s="17">
        <v>5</v>
      </c>
      <c r="K167" s="17">
        <v>10</v>
      </c>
      <c r="L167" s="17">
        <v>5</v>
      </c>
      <c r="M167" s="17">
        <v>10</v>
      </c>
      <c r="N167" s="18">
        <v>10</v>
      </c>
      <c r="O167" s="17">
        <v>5</v>
      </c>
      <c r="P167" s="17">
        <v>16</v>
      </c>
      <c r="Q167" s="17">
        <v>16</v>
      </c>
      <c r="R167" s="17">
        <v>7</v>
      </c>
      <c r="S167" s="17">
        <v>16</v>
      </c>
      <c r="T167" s="17">
        <v>11</v>
      </c>
      <c r="U167" s="18">
        <v>5</v>
      </c>
      <c r="V167" s="20">
        <v>126</v>
      </c>
    </row>
    <row r="168" spans="1:22" ht="43.8" thickBot="1">
      <c r="A168" s="23"/>
      <c r="B168" s="23" t="s">
        <v>567</v>
      </c>
      <c r="C168" s="22">
        <v>112576</v>
      </c>
      <c r="D168" s="22">
        <v>24165206</v>
      </c>
      <c r="E168" s="23" t="s">
        <v>568</v>
      </c>
      <c r="F168" s="24" t="s">
        <v>13</v>
      </c>
      <c r="G168" s="23" t="s">
        <v>27</v>
      </c>
      <c r="H168" s="21"/>
      <c r="I168" s="25">
        <v>5</v>
      </c>
      <c r="J168" s="25">
        <v>5</v>
      </c>
      <c r="K168" s="25">
        <v>10</v>
      </c>
      <c r="L168" s="25">
        <v>5</v>
      </c>
      <c r="M168" s="25">
        <v>10</v>
      </c>
      <c r="N168" s="26">
        <v>7</v>
      </c>
      <c r="O168" s="25">
        <v>9</v>
      </c>
      <c r="P168" s="25">
        <v>2</v>
      </c>
      <c r="Q168" s="25">
        <v>16</v>
      </c>
      <c r="R168" s="25">
        <v>13</v>
      </c>
      <c r="S168" s="25">
        <v>16</v>
      </c>
      <c r="T168" s="25">
        <v>25</v>
      </c>
      <c r="U168" s="26">
        <v>4</v>
      </c>
      <c r="V168" s="20">
        <v>127</v>
      </c>
    </row>
    <row r="169" spans="1:22" ht="43.8" thickBot="1">
      <c r="A169" s="14"/>
      <c r="B169" s="14" t="s">
        <v>439</v>
      </c>
      <c r="C169" s="15">
        <v>103754</v>
      </c>
      <c r="D169" s="15">
        <v>24035819</v>
      </c>
      <c r="E169" s="14" t="s">
        <v>440</v>
      </c>
      <c r="F169" s="16" t="s">
        <v>13</v>
      </c>
      <c r="G169" s="14" t="s">
        <v>27</v>
      </c>
      <c r="H169" s="14"/>
      <c r="I169" s="17">
        <v>0</v>
      </c>
      <c r="J169" s="17">
        <v>10</v>
      </c>
      <c r="K169" s="17">
        <v>5</v>
      </c>
      <c r="L169" s="17">
        <v>5</v>
      </c>
      <c r="M169" s="17">
        <v>0</v>
      </c>
      <c r="N169" s="18">
        <v>10</v>
      </c>
      <c r="O169" s="17">
        <v>7</v>
      </c>
      <c r="P169" s="17">
        <v>16</v>
      </c>
      <c r="Q169" s="17">
        <v>16</v>
      </c>
      <c r="R169" s="17">
        <v>15.5</v>
      </c>
      <c r="S169" s="17">
        <v>6</v>
      </c>
      <c r="T169" s="17">
        <v>25</v>
      </c>
      <c r="U169" s="18">
        <v>12</v>
      </c>
      <c r="V169" s="20">
        <v>127.5</v>
      </c>
    </row>
    <row r="170" spans="1:22" ht="43.8" thickBot="1">
      <c r="A170" s="23"/>
      <c r="B170" s="23" t="s">
        <v>409</v>
      </c>
      <c r="C170" s="22">
        <v>107057</v>
      </c>
      <c r="D170" s="22">
        <v>24077282</v>
      </c>
      <c r="E170" s="23" t="s">
        <v>410</v>
      </c>
      <c r="F170" s="24" t="s">
        <v>13</v>
      </c>
      <c r="G170" s="23" t="s">
        <v>40</v>
      </c>
      <c r="H170" s="21"/>
      <c r="I170" s="25">
        <v>5</v>
      </c>
      <c r="J170" s="25">
        <v>7</v>
      </c>
      <c r="K170" s="25">
        <v>5</v>
      </c>
      <c r="L170" s="25">
        <v>0</v>
      </c>
      <c r="M170" s="25">
        <v>10</v>
      </c>
      <c r="N170" s="26">
        <v>10</v>
      </c>
      <c r="O170" s="25">
        <v>16</v>
      </c>
      <c r="P170" s="25">
        <v>7</v>
      </c>
      <c r="Q170" s="25">
        <v>16</v>
      </c>
      <c r="R170" s="25">
        <v>9.5</v>
      </c>
      <c r="S170" s="25">
        <v>12</v>
      </c>
      <c r="T170" s="25">
        <v>25</v>
      </c>
      <c r="U170" s="26">
        <v>5</v>
      </c>
      <c r="V170" s="20">
        <v>127.5</v>
      </c>
    </row>
    <row r="171" spans="1:22" ht="43.8" thickBot="1">
      <c r="A171" s="14"/>
      <c r="B171" s="14" t="s">
        <v>339</v>
      </c>
      <c r="C171" s="15">
        <v>112607</v>
      </c>
      <c r="D171" s="15">
        <v>24165172</v>
      </c>
      <c r="E171" s="14" t="s">
        <v>340</v>
      </c>
      <c r="F171" s="16" t="s">
        <v>13</v>
      </c>
      <c r="G171" s="14" t="s">
        <v>17</v>
      </c>
      <c r="H171" s="14"/>
      <c r="I171" s="17">
        <v>5</v>
      </c>
      <c r="J171" s="17">
        <v>5</v>
      </c>
      <c r="K171" s="17">
        <v>5</v>
      </c>
      <c r="L171" s="17">
        <v>10</v>
      </c>
      <c r="M171" s="17">
        <v>0</v>
      </c>
      <c r="N171" s="18">
        <v>0</v>
      </c>
      <c r="O171" s="17">
        <v>16</v>
      </c>
      <c r="P171" s="17">
        <v>16</v>
      </c>
      <c r="Q171" s="17">
        <v>15</v>
      </c>
      <c r="R171" s="17">
        <v>10.5</v>
      </c>
      <c r="S171" s="17">
        <v>6</v>
      </c>
      <c r="T171" s="17">
        <v>25</v>
      </c>
      <c r="U171" s="18">
        <v>15</v>
      </c>
      <c r="V171" s="20">
        <v>128.5</v>
      </c>
    </row>
    <row r="172" spans="1:22" ht="43.8" thickBot="1">
      <c r="A172" s="23"/>
      <c r="B172" s="23" t="s">
        <v>343</v>
      </c>
      <c r="C172" s="22">
        <v>107217</v>
      </c>
      <c r="D172" s="22">
        <v>24079645</v>
      </c>
      <c r="E172" s="23" t="s">
        <v>344</v>
      </c>
      <c r="F172" s="24" t="s">
        <v>13</v>
      </c>
      <c r="G172" s="23" t="s">
        <v>27</v>
      </c>
      <c r="H172" s="21"/>
      <c r="I172" s="25">
        <v>5</v>
      </c>
      <c r="J172" s="25">
        <v>7</v>
      </c>
      <c r="K172" s="25">
        <v>10</v>
      </c>
      <c r="L172" s="25">
        <v>0</v>
      </c>
      <c r="M172" s="25">
        <v>0</v>
      </c>
      <c r="N172" s="26">
        <v>10</v>
      </c>
      <c r="O172" s="25">
        <v>16</v>
      </c>
      <c r="P172" s="25">
        <v>20</v>
      </c>
      <c r="Q172" s="25">
        <v>14</v>
      </c>
      <c r="R172" s="25">
        <v>12.5</v>
      </c>
      <c r="S172" s="25">
        <v>5</v>
      </c>
      <c r="T172" s="25">
        <v>24</v>
      </c>
      <c r="U172" s="26">
        <v>5</v>
      </c>
      <c r="V172" s="20">
        <v>128.5</v>
      </c>
    </row>
    <row r="173" spans="1:22" ht="43.8" thickBot="1">
      <c r="A173" s="14"/>
      <c r="B173" s="14" t="s">
        <v>189</v>
      </c>
      <c r="C173" s="15">
        <v>108006</v>
      </c>
      <c r="D173" s="15">
        <v>24092854</v>
      </c>
      <c r="E173" s="14" t="s">
        <v>190</v>
      </c>
      <c r="F173" s="16" t="s">
        <v>13</v>
      </c>
      <c r="G173" s="14" t="s">
        <v>14</v>
      </c>
      <c r="H173" s="14"/>
      <c r="I173" s="17">
        <v>10</v>
      </c>
      <c r="J173" s="17">
        <v>5</v>
      </c>
      <c r="K173" s="17">
        <v>10</v>
      </c>
      <c r="L173" s="17">
        <v>5</v>
      </c>
      <c r="M173" s="17">
        <v>10</v>
      </c>
      <c r="N173" s="18">
        <v>10</v>
      </c>
      <c r="O173" s="17">
        <v>6</v>
      </c>
      <c r="P173" s="17">
        <v>4</v>
      </c>
      <c r="Q173" s="17">
        <v>14</v>
      </c>
      <c r="R173" s="17">
        <v>12.5</v>
      </c>
      <c r="S173" s="17">
        <v>12</v>
      </c>
      <c r="T173" s="17">
        <v>25</v>
      </c>
      <c r="U173" s="18">
        <v>5</v>
      </c>
      <c r="V173" s="20">
        <v>128.5</v>
      </c>
    </row>
    <row r="174" spans="1:22" ht="43.8" thickBot="1">
      <c r="A174" s="23"/>
      <c r="B174" s="23" t="s">
        <v>711</v>
      </c>
      <c r="C174" s="22">
        <v>109789</v>
      </c>
      <c r="D174" s="22">
        <v>24119680</v>
      </c>
      <c r="E174" s="23" t="s">
        <v>712</v>
      </c>
      <c r="F174" s="24" t="s">
        <v>13</v>
      </c>
      <c r="G174" s="23" t="s">
        <v>40</v>
      </c>
      <c r="H174" s="21"/>
      <c r="I174" s="25">
        <v>10</v>
      </c>
      <c r="J174" s="25">
        <v>5</v>
      </c>
      <c r="K174" s="25">
        <v>10</v>
      </c>
      <c r="L174" s="25">
        <v>0</v>
      </c>
      <c r="M174" s="25">
        <v>5</v>
      </c>
      <c r="N174" s="26">
        <v>0</v>
      </c>
      <c r="O174" s="25">
        <v>4</v>
      </c>
      <c r="P174" s="25">
        <v>16</v>
      </c>
      <c r="Q174" s="25">
        <v>14</v>
      </c>
      <c r="R174" s="25">
        <v>12</v>
      </c>
      <c r="S174" s="25">
        <v>13</v>
      </c>
      <c r="T174" s="25">
        <v>25</v>
      </c>
      <c r="U174" s="26">
        <v>15</v>
      </c>
      <c r="V174" s="20">
        <v>129</v>
      </c>
    </row>
    <row r="175" spans="1:22" ht="43.8" thickBot="1">
      <c r="A175" s="14"/>
      <c r="B175" s="14" t="s">
        <v>505</v>
      </c>
      <c r="C175" s="15">
        <v>109723</v>
      </c>
      <c r="D175" s="15">
        <v>24119510</v>
      </c>
      <c r="E175" s="14" t="s">
        <v>506</v>
      </c>
      <c r="F175" s="16" t="s">
        <v>13</v>
      </c>
      <c r="G175" s="14" t="s">
        <v>27</v>
      </c>
      <c r="H175" s="14"/>
      <c r="I175" s="17">
        <v>10</v>
      </c>
      <c r="J175" s="17">
        <v>5</v>
      </c>
      <c r="K175" s="17">
        <v>0</v>
      </c>
      <c r="L175" s="17">
        <v>10</v>
      </c>
      <c r="M175" s="17">
        <v>10</v>
      </c>
      <c r="N175" s="18">
        <v>7</v>
      </c>
      <c r="O175" s="17">
        <v>3</v>
      </c>
      <c r="P175" s="17">
        <v>15</v>
      </c>
      <c r="Q175" s="17">
        <v>13</v>
      </c>
      <c r="R175" s="17">
        <v>15.5</v>
      </c>
      <c r="S175" s="17">
        <v>14</v>
      </c>
      <c r="T175" s="17">
        <v>25</v>
      </c>
      <c r="U175" s="18">
        <v>2</v>
      </c>
      <c r="V175" s="20">
        <v>129.5</v>
      </c>
    </row>
    <row r="176" spans="1:22" ht="43.8" thickBot="1">
      <c r="A176" s="23"/>
      <c r="B176" s="23" t="s">
        <v>345</v>
      </c>
      <c r="C176" s="22">
        <v>103065</v>
      </c>
      <c r="D176" s="22">
        <v>24036669</v>
      </c>
      <c r="E176" s="23" t="s">
        <v>346</v>
      </c>
      <c r="F176" s="24" t="s">
        <v>13</v>
      </c>
      <c r="G176" s="23" t="s">
        <v>40</v>
      </c>
      <c r="H176" s="21"/>
      <c r="I176" s="25">
        <v>10</v>
      </c>
      <c r="J176" s="25">
        <v>5</v>
      </c>
      <c r="K176" s="25">
        <v>5</v>
      </c>
      <c r="L176" s="25">
        <v>0</v>
      </c>
      <c r="M176" s="25">
        <v>10</v>
      </c>
      <c r="N176" s="26">
        <v>10</v>
      </c>
      <c r="O176" s="25">
        <v>3</v>
      </c>
      <c r="P176" s="25">
        <v>15</v>
      </c>
      <c r="Q176" s="25">
        <v>16</v>
      </c>
      <c r="R176" s="25">
        <v>9.5</v>
      </c>
      <c r="S176" s="25">
        <v>12</v>
      </c>
      <c r="T176" s="25">
        <v>25</v>
      </c>
      <c r="U176" s="26">
        <v>9</v>
      </c>
      <c r="V176" s="20">
        <v>129.5</v>
      </c>
    </row>
    <row r="177" spans="1:22" ht="43.8" thickBot="1">
      <c r="A177" s="14"/>
      <c r="B177" s="14" t="s">
        <v>357</v>
      </c>
      <c r="C177" s="15">
        <v>103698</v>
      </c>
      <c r="D177" s="15">
        <v>24035700</v>
      </c>
      <c r="E177" s="14" t="s">
        <v>358</v>
      </c>
      <c r="F177" s="16" t="s">
        <v>13</v>
      </c>
      <c r="G177" s="14" t="s">
        <v>40</v>
      </c>
      <c r="H177" s="14"/>
      <c r="I177" s="17">
        <v>5</v>
      </c>
      <c r="J177" s="17">
        <v>5</v>
      </c>
      <c r="K177" s="17">
        <v>0</v>
      </c>
      <c r="L177" s="17">
        <v>5</v>
      </c>
      <c r="M177" s="17">
        <v>5</v>
      </c>
      <c r="N177" s="18">
        <v>10</v>
      </c>
      <c r="O177" s="17">
        <v>13</v>
      </c>
      <c r="P177" s="17">
        <v>16</v>
      </c>
      <c r="Q177" s="17">
        <v>16</v>
      </c>
      <c r="R177" s="17">
        <v>15.5</v>
      </c>
      <c r="S177" s="17">
        <v>12</v>
      </c>
      <c r="T177" s="17">
        <v>25</v>
      </c>
      <c r="U177" s="18">
        <v>2</v>
      </c>
      <c r="V177" s="20">
        <v>129.5</v>
      </c>
    </row>
    <row r="178" spans="1:22" ht="43.8" thickBot="1">
      <c r="A178" s="21"/>
      <c r="B178" s="21" t="s">
        <v>211</v>
      </c>
      <c r="C178" s="22">
        <v>111365</v>
      </c>
      <c r="D178" s="22">
        <v>24146897</v>
      </c>
      <c r="E178" s="23" t="s">
        <v>212</v>
      </c>
      <c r="F178" s="24" t="s">
        <v>13</v>
      </c>
      <c r="G178" s="23" t="s">
        <v>14</v>
      </c>
      <c r="H178" s="21"/>
      <c r="I178" s="25">
        <v>5</v>
      </c>
      <c r="J178" s="25">
        <v>2</v>
      </c>
      <c r="K178" s="25">
        <v>5</v>
      </c>
      <c r="L178" s="25">
        <v>5</v>
      </c>
      <c r="M178" s="25">
        <v>10</v>
      </c>
      <c r="N178" s="26">
        <v>2</v>
      </c>
      <c r="O178" s="25">
        <v>16</v>
      </c>
      <c r="P178" s="25">
        <v>16</v>
      </c>
      <c r="Q178" s="25">
        <v>16</v>
      </c>
      <c r="R178" s="25">
        <v>12.5</v>
      </c>
      <c r="S178" s="25">
        <v>10</v>
      </c>
      <c r="T178" s="25">
        <v>25</v>
      </c>
      <c r="U178" s="26">
        <v>5</v>
      </c>
      <c r="V178" s="20">
        <v>129.5</v>
      </c>
    </row>
    <row r="179" spans="1:22" ht="43.8" thickBot="1">
      <c r="A179" s="14"/>
      <c r="B179" s="14" t="s">
        <v>305</v>
      </c>
      <c r="C179" s="15">
        <v>104002</v>
      </c>
      <c r="D179" s="15">
        <v>24036584</v>
      </c>
      <c r="E179" s="14" t="s">
        <v>306</v>
      </c>
      <c r="F179" s="16" t="s">
        <v>13</v>
      </c>
      <c r="G179" s="14" t="s">
        <v>14</v>
      </c>
      <c r="H179" s="14"/>
      <c r="I179" s="17">
        <v>5</v>
      </c>
      <c r="J179" s="17">
        <v>5</v>
      </c>
      <c r="K179" s="17">
        <v>0</v>
      </c>
      <c r="L179" s="17">
        <v>5</v>
      </c>
      <c r="M179" s="17">
        <v>0</v>
      </c>
      <c r="N179" s="18">
        <v>10</v>
      </c>
      <c r="O179" s="17">
        <v>16</v>
      </c>
      <c r="P179" s="17">
        <v>16</v>
      </c>
      <c r="Q179" s="17">
        <v>16</v>
      </c>
      <c r="R179" s="17">
        <v>15.5</v>
      </c>
      <c r="S179" s="17">
        <v>11</v>
      </c>
      <c r="T179" s="17">
        <v>25</v>
      </c>
      <c r="U179" s="18">
        <v>5</v>
      </c>
      <c r="V179" s="20">
        <v>129.5</v>
      </c>
    </row>
    <row r="180" spans="1:22" ht="43.8" thickBot="1">
      <c r="A180" s="23"/>
      <c r="B180" s="23" t="s">
        <v>565</v>
      </c>
      <c r="C180" s="22">
        <v>108194</v>
      </c>
      <c r="D180" s="22">
        <v>24094588</v>
      </c>
      <c r="E180" s="23" t="s">
        <v>566</v>
      </c>
      <c r="F180" s="24" t="s">
        <v>13</v>
      </c>
      <c r="G180" s="23" t="s">
        <v>27</v>
      </c>
      <c r="H180" s="21"/>
      <c r="I180" s="25">
        <v>5</v>
      </c>
      <c r="J180" s="25">
        <v>5</v>
      </c>
      <c r="K180" s="25">
        <v>10</v>
      </c>
      <c r="L180" s="25">
        <v>5</v>
      </c>
      <c r="M180" s="25">
        <v>10</v>
      </c>
      <c r="N180" s="26">
        <v>10</v>
      </c>
      <c r="O180" s="25">
        <v>6</v>
      </c>
      <c r="P180" s="25">
        <v>16</v>
      </c>
      <c r="Q180" s="25">
        <v>14</v>
      </c>
      <c r="R180" s="25">
        <v>16</v>
      </c>
      <c r="S180" s="25">
        <v>6</v>
      </c>
      <c r="T180" s="25">
        <v>21</v>
      </c>
      <c r="U180" s="26">
        <v>6</v>
      </c>
      <c r="V180" s="20">
        <v>130</v>
      </c>
    </row>
    <row r="181" spans="1:22" ht="43.8" thickBot="1">
      <c r="A181" s="14"/>
      <c r="B181" s="14" t="s">
        <v>381</v>
      </c>
      <c r="C181" s="15">
        <v>103778</v>
      </c>
      <c r="D181" s="15">
        <v>13982199</v>
      </c>
      <c r="E181" s="14" t="s">
        <v>382</v>
      </c>
      <c r="F181" s="16" t="s">
        <v>13</v>
      </c>
      <c r="G181" s="14" t="s">
        <v>40</v>
      </c>
      <c r="H181" s="14"/>
      <c r="I181" s="17">
        <v>10</v>
      </c>
      <c r="J181" s="17">
        <v>5</v>
      </c>
      <c r="K181" s="17">
        <v>10</v>
      </c>
      <c r="L181" s="17">
        <v>5</v>
      </c>
      <c r="M181" s="17">
        <v>0</v>
      </c>
      <c r="N181" s="18">
        <v>0</v>
      </c>
      <c r="O181" s="17">
        <v>6</v>
      </c>
      <c r="P181" s="17">
        <v>15</v>
      </c>
      <c r="Q181" s="17">
        <v>16</v>
      </c>
      <c r="R181" s="17">
        <v>13</v>
      </c>
      <c r="S181" s="17">
        <v>12</v>
      </c>
      <c r="T181" s="17">
        <v>23</v>
      </c>
      <c r="U181" s="18">
        <v>15</v>
      </c>
      <c r="V181" s="20">
        <v>130</v>
      </c>
    </row>
    <row r="182" spans="1:22" ht="43.8" thickBot="1">
      <c r="A182" s="23"/>
      <c r="B182" s="23" t="s">
        <v>47</v>
      </c>
      <c r="C182" s="22">
        <v>108044</v>
      </c>
      <c r="D182" s="22">
        <v>24092718</v>
      </c>
      <c r="E182" s="23" t="s">
        <v>48</v>
      </c>
      <c r="F182" s="24" t="s">
        <v>13</v>
      </c>
      <c r="G182" s="23" t="s">
        <v>14</v>
      </c>
      <c r="H182" s="21"/>
      <c r="I182" s="25">
        <v>10</v>
      </c>
      <c r="J182" s="25">
        <v>7</v>
      </c>
      <c r="K182" s="25">
        <v>10</v>
      </c>
      <c r="L182" s="25">
        <v>5</v>
      </c>
      <c r="M182" s="25">
        <v>0</v>
      </c>
      <c r="N182" s="26">
        <v>5</v>
      </c>
      <c r="O182" s="25">
        <v>16</v>
      </c>
      <c r="P182" s="25">
        <v>16</v>
      </c>
      <c r="Q182" s="25">
        <v>14</v>
      </c>
      <c r="R182" s="25">
        <v>12</v>
      </c>
      <c r="S182" s="25">
        <v>12</v>
      </c>
      <c r="T182" s="25">
        <v>18</v>
      </c>
      <c r="U182" s="26">
        <v>5</v>
      </c>
      <c r="V182" s="20">
        <v>130</v>
      </c>
    </row>
    <row r="183" spans="1:22" ht="67.2" thickBot="1">
      <c r="A183" s="14"/>
      <c r="B183" s="14" t="s">
        <v>141</v>
      </c>
      <c r="C183" s="15">
        <v>108055</v>
      </c>
      <c r="D183" s="15">
        <v>24092769</v>
      </c>
      <c r="E183" s="14" t="s">
        <v>142</v>
      </c>
      <c r="F183" s="16" t="s">
        <v>13</v>
      </c>
      <c r="G183" s="14" t="s">
        <v>14</v>
      </c>
      <c r="H183" s="14"/>
      <c r="I183" s="17">
        <v>10</v>
      </c>
      <c r="J183" s="17">
        <v>0</v>
      </c>
      <c r="K183" s="17">
        <v>5</v>
      </c>
      <c r="L183" s="17">
        <v>5</v>
      </c>
      <c r="M183" s="17">
        <v>5</v>
      </c>
      <c r="N183" s="18">
        <v>2</v>
      </c>
      <c r="O183" s="17">
        <v>16</v>
      </c>
      <c r="P183" s="17">
        <v>16</v>
      </c>
      <c r="Q183" s="17">
        <v>16</v>
      </c>
      <c r="R183" s="17">
        <v>10</v>
      </c>
      <c r="S183" s="17">
        <v>8</v>
      </c>
      <c r="T183" s="17">
        <v>25</v>
      </c>
      <c r="U183" s="18">
        <v>12</v>
      </c>
      <c r="V183" s="20">
        <v>130</v>
      </c>
    </row>
    <row r="184" spans="1:22" ht="43.8" thickBot="1">
      <c r="A184" s="23"/>
      <c r="B184" s="23" t="s">
        <v>21</v>
      </c>
      <c r="C184" s="22">
        <v>108284</v>
      </c>
      <c r="D184" s="22">
        <v>24097002</v>
      </c>
      <c r="E184" s="23" t="s">
        <v>22</v>
      </c>
      <c r="F184" s="24" t="s">
        <v>13</v>
      </c>
      <c r="G184" s="23" t="s">
        <v>20</v>
      </c>
      <c r="H184" s="21"/>
      <c r="I184" s="25">
        <v>5</v>
      </c>
      <c r="J184" s="25">
        <v>10</v>
      </c>
      <c r="K184" s="25">
        <v>10</v>
      </c>
      <c r="L184" s="25">
        <v>0</v>
      </c>
      <c r="M184" s="25">
        <v>10</v>
      </c>
      <c r="N184" s="26">
        <v>10</v>
      </c>
      <c r="O184" s="25">
        <v>4</v>
      </c>
      <c r="P184" s="25">
        <v>19</v>
      </c>
      <c r="Q184" s="25">
        <v>14</v>
      </c>
      <c r="R184" s="25">
        <v>10</v>
      </c>
      <c r="S184" s="25">
        <v>11</v>
      </c>
      <c r="T184" s="25">
        <v>25</v>
      </c>
      <c r="U184" s="26">
        <v>2</v>
      </c>
      <c r="V184" s="20">
        <v>130</v>
      </c>
    </row>
    <row r="185" spans="1:22" ht="43.8" thickBot="1">
      <c r="A185" s="14"/>
      <c r="B185" s="14" t="s">
        <v>353</v>
      </c>
      <c r="C185" s="15">
        <v>88529</v>
      </c>
      <c r="D185" s="15">
        <v>17554914</v>
      </c>
      <c r="E185" s="14" t="s">
        <v>354</v>
      </c>
      <c r="F185" s="16" t="s">
        <v>13</v>
      </c>
      <c r="G185" s="14" t="s">
        <v>20</v>
      </c>
      <c r="H185" s="14"/>
      <c r="I185" s="17">
        <v>10</v>
      </c>
      <c r="J185" s="17">
        <v>5</v>
      </c>
      <c r="K185" s="17">
        <v>0</v>
      </c>
      <c r="L185" s="17">
        <v>0</v>
      </c>
      <c r="M185" s="17">
        <v>10</v>
      </c>
      <c r="N185" s="18">
        <v>10</v>
      </c>
      <c r="O185" s="17">
        <v>5</v>
      </c>
      <c r="P185" s="17">
        <v>16</v>
      </c>
      <c r="Q185" s="17">
        <v>14</v>
      </c>
      <c r="R185" s="17">
        <v>12</v>
      </c>
      <c r="S185" s="17">
        <v>15</v>
      </c>
      <c r="T185" s="17">
        <v>18</v>
      </c>
      <c r="U185" s="18">
        <v>15</v>
      </c>
      <c r="V185" s="20">
        <v>130</v>
      </c>
    </row>
    <row r="186" spans="1:22" ht="43.8" thickBot="1">
      <c r="A186" s="23"/>
      <c r="B186" s="23" t="s">
        <v>285</v>
      </c>
      <c r="C186" s="22">
        <v>11847</v>
      </c>
      <c r="D186" s="22">
        <v>12395130</v>
      </c>
      <c r="E186" s="23" t="s">
        <v>286</v>
      </c>
      <c r="F186" s="24" t="s">
        <v>13</v>
      </c>
      <c r="G186" s="23" t="s">
        <v>17</v>
      </c>
      <c r="H186" s="21"/>
      <c r="I186" s="25">
        <v>5</v>
      </c>
      <c r="J186" s="25">
        <v>7</v>
      </c>
      <c r="K186" s="25">
        <v>10</v>
      </c>
      <c r="L186" s="25">
        <v>5</v>
      </c>
      <c r="M186" s="25">
        <v>0</v>
      </c>
      <c r="N186" s="26">
        <v>10</v>
      </c>
      <c r="O186" s="25">
        <v>8</v>
      </c>
      <c r="P186" s="25">
        <v>16</v>
      </c>
      <c r="Q186" s="25">
        <v>15</v>
      </c>
      <c r="R186" s="25">
        <v>13.5</v>
      </c>
      <c r="S186" s="25">
        <v>6</v>
      </c>
      <c r="T186" s="25">
        <v>25</v>
      </c>
      <c r="U186" s="26">
        <v>10</v>
      </c>
      <c r="V186" s="20">
        <v>130.5</v>
      </c>
    </row>
    <row r="187" spans="1:22" ht="54" thickBot="1">
      <c r="A187" s="14"/>
      <c r="B187" s="14" t="s">
        <v>641</v>
      </c>
      <c r="C187" s="15">
        <v>103987</v>
      </c>
      <c r="D187" s="15">
        <v>24037043</v>
      </c>
      <c r="E187" s="14" t="s">
        <v>642</v>
      </c>
      <c r="F187" s="16" t="s">
        <v>13</v>
      </c>
      <c r="G187" s="14" t="s">
        <v>17</v>
      </c>
      <c r="H187" s="14"/>
      <c r="I187" s="17">
        <v>0</v>
      </c>
      <c r="J187" s="17">
        <v>10</v>
      </c>
      <c r="K187" s="17">
        <v>10</v>
      </c>
      <c r="L187" s="17">
        <v>0</v>
      </c>
      <c r="M187" s="17">
        <v>10</v>
      </c>
      <c r="N187" s="18">
        <v>2</v>
      </c>
      <c r="O187" s="17">
        <v>16</v>
      </c>
      <c r="P187" s="17">
        <v>16</v>
      </c>
      <c r="Q187" s="17">
        <v>16</v>
      </c>
      <c r="R187" s="17">
        <v>12.5</v>
      </c>
      <c r="S187" s="17">
        <v>12</v>
      </c>
      <c r="T187" s="17">
        <v>25</v>
      </c>
      <c r="U187" s="18">
        <v>1</v>
      </c>
      <c r="V187" s="20">
        <v>130.5</v>
      </c>
    </row>
    <row r="188" spans="1:22" ht="43.8" thickBot="1">
      <c r="A188" s="23"/>
      <c r="B188" s="23" t="s">
        <v>201</v>
      </c>
      <c r="C188" s="22">
        <v>103998</v>
      </c>
      <c r="D188" s="22">
        <v>24035938</v>
      </c>
      <c r="E188" s="23" t="s">
        <v>202</v>
      </c>
      <c r="F188" s="24" t="s">
        <v>13</v>
      </c>
      <c r="G188" s="23" t="s">
        <v>27</v>
      </c>
      <c r="H188" s="21"/>
      <c r="I188" s="25">
        <v>5</v>
      </c>
      <c r="J188" s="25">
        <v>10</v>
      </c>
      <c r="K188" s="25">
        <v>0</v>
      </c>
      <c r="L188" s="25">
        <v>5</v>
      </c>
      <c r="M188" s="25">
        <v>5</v>
      </c>
      <c r="N188" s="26">
        <v>7</v>
      </c>
      <c r="O188" s="25">
        <v>9</v>
      </c>
      <c r="P188" s="25">
        <v>16</v>
      </c>
      <c r="Q188" s="25">
        <v>16</v>
      </c>
      <c r="R188" s="25">
        <v>10.5</v>
      </c>
      <c r="S188" s="25">
        <v>16</v>
      </c>
      <c r="T188" s="25">
        <v>25</v>
      </c>
      <c r="U188" s="26">
        <v>6</v>
      </c>
      <c r="V188" s="20">
        <v>130.5</v>
      </c>
    </row>
    <row r="189" spans="1:22" ht="43.8" thickBot="1">
      <c r="A189" s="14"/>
      <c r="B189" s="14" t="s">
        <v>135</v>
      </c>
      <c r="C189" s="15">
        <v>108246</v>
      </c>
      <c r="D189" s="15">
        <v>24097036</v>
      </c>
      <c r="E189" s="14" t="s">
        <v>136</v>
      </c>
      <c r="F189" s="16" t="s">
        <v>13</v>
      </c>
      <c r="G189" s="14" t="s">
        <v>14</v>
      </c>
      <c r="H189" s="14"/>
      <c r="I189" s="17">
        <v>10</v>
      </c>
      <c r="J189" s="17">
        <v>7</v>
      </c>
      <c r="K189" s="17">
        <v>10</v>
      </c>
      <c r="L189" s="17">
        <v>5</v>
      </c>
      <c r="M189" s="17">
        <v>5</v>
      </c>
      <c r="N189" s="18">
        <v>10</v>
      </c>
      <c r="O189" s="17">
        <v>5</v>
      </c>
      <c r="P189" s="17">
        <v>7</v>
      </c>
      <c r="Q189" s="17">
        <v>16</v>
      </c>
      <c r="R189" s="17">
        <v>9.5</v>
      </c>
      <c r="S189" s="17">
        <v>6</v>
      </c>
      <c r="T189" s="17">
        <v>25</v>
      </c>
      <c r="U189" s="18">
        <v>15</v>
      </c>
      <c r="V189" s="20">
        <v>130.5</v>
      </c>
    </row>
    <row r="190" spans="1:22" ht="43.8" thickBot="1">
      <c r="A190" s="23"/>
      <c r="B190" s="23" t="s">
        <v>85</v>
      </c>
      <c r="C190" s="22">
        <v>107160</v>
      </c>
      <c r="D190" s="22">
        <v>24078761</v>
      </c>
      <c r="E190" s="23" t="s">
        <v>86</v>
      </c>
      <c r="F190" s="24" t="s">
        <v>13</v>
      </c>
      <c r="G190" s="23" t="s">
        <v>20</v>
      </c>
      <c r="H190" s="21"/>
      <c r="I190" s="25">
        <v>10</v>
      </c>
      <c r="J190" s="25">
        <v>7</v>
      </c>
      <c r="K190" s="25">
        <v>0</v>
      </c>
      <c r="L190" s="25">
        <v>5</v>
      </c>
      <c r="M190" s="25">
        <v>10</v>
      </c>
      <c r="N190" s="26">
        <v>10</v>
      </c>
      <c r="O190" s="25">
        <v>8</v>
      </c>
      <c r="P190" s="25">
        <v>15</v>
      </c>
      <c r="Q190" s="25">
        <v>14</v>
      </c>
      <c r="R190" s="25">
        <v>14.5</v>
      </c>
      <c r="S190" s="25">
        <v>14</v>
      </c>
      <c r="T190" s="25">
        <v>18</v>
      </c>
      <c r="U190" s="26">
        <v>5</v>
      </c>
      <c r="V190" s="20">
        <v>130.5</v>
      </c>
    </row>
    <row r="191" spans="1:22" ht="43.8" thickBot="1">
      <c r="A191" s="14"/>
      <c r="B191" s="14" t="s">
        <v>143</v>
      </c>
      <c r="C191" s="15">
        <v>58424</v>
      </c>
      <c r="D191" s="15">
        <v>17221765</v>
      </c>
      <c r="E191" s="14" t="s">
        <v>144</v>
      </c>
      <c r="F191" s="16" t="s">
        <v>13</v>
      </c>
      <c r="G191" s="14" t="s">
        <v>17</v>
      </c>
      <c r="H191" s="14"/>
      <c r="I191" s="17">
        <v>5</v>
      </c>
      <c r="J191" s="17">
        <v>5</v>
      </c>
      <c r="K191" s="17">
        <v>10</v>
      </c>
      <c r="L191" s="17">
        <v>5</v>
      </c>
      <c r="M191" s="17">
        <v>5</v>
      </c>
      <c r="N191" s="18">
        <v>10</v>
      </c>
      <c r="O191" s="17">
        <v>5</v>
      </c>
      <c r="P191" s="17">
        <v>16</v>
      </c>
      <c r="Q191" s="17">
        <v>16</v>
      </c>
      <c r="R191" s="17">
        <v>12</v>
      </c>
      <c r="S191" s="17">
        <v>12</v>
      </c>
      <c r="T191" s="17">
        <v>25</v>
      </c>
      <c r="U191" s="18">
        <v>5</v>
      </c>
      <c r="V191" s="20">
        <v>131</v>
      </c>
    </row>
    <row r="192" spans="1:22" ht="43.8" thickBot="1">
      <c r="A192" s="23"/>
      <c r="B192" s="23" t="s">
        <v>379</v>
      </c>
      <c r="C192" s="22">
        <v>109894</v>
      </c>
      <c r="D192" s="22">
        <v>24122349</v>
      </c>
      <c r="E192" s="23" t="s">
        <v>380</v>
      </c>
      <c r="F192" s="24" t="s">
        <v>13</v>
      </c>
      <c r="G192" s="23" t="s">
        <v>14</v>
      </c>
      <c r="H192" s="21"/>
      <c r="I192" s="25">
        <v>10</v>
      </c>
      <c r="J192" s="25">
        <v>7</v>
      </c>
      <c r="K192" s="25">
        <v>0</v>
      </c>
      <c r="L192" s="25">
        <v>10</v>
      </c>
      <c r="M192" s="25">
        <v>10</v>
      </c>
      <c r="N192" s="26">
        <v>2</v>
      </c>
      <c r="O192" s="25">
        <v>6</v>
      </c>
      <c r="P192" s="25">
        <v>20</v>
      </c>
      <c r="Q192" s="25">
        <v>16</v>
      </c>
      <c r="R192" s="25">
        <v>12</v>
      </c>
      <c r="S192" s="25">
        <v>8</v>
      </c>
      <c r="T192" s="25">
        <v>25</v>
      </c>
      <c r="U192" s="26">
        <v>5</v>
      </c>
      <c r="V192" s="20">
        <v>131</v>
      </c>
    </row>
    <row r="193" spans="1:22" ht="43.8" thickBot="1">
      <c r="A193" s="14"/>
      <c r="B193" s="14" t="s">
        <v>131</v>
      </c>
      <c r="C193" s="15">
        <v>112481</v>
      </c>
      <c r="D193" s="15">
        <v>24162928</v>
      </c>
      <c r="E193" s="14" t="s">
        <v>132</v>
      </c>
      <c r="F193" s="16" t="s">
        <v>13</v>
      </c>
      <c r="G193" s="14" t="s">
        <v>17</v>
      </c>
      <c r="H193" s="14"/>
      <c r="I193" s="17">
        <v>10</v>
      </c>
      <c r="J193" s="17">
        <v>5</v>
      </c>
      <c r="K193" s="17">
        <v>10</v>
      </c>
      <c r="L193" s="17">
        <v>5</v>
      </c>
      <c r="M193" s="17">
        <v>10</v>
      </c>
      <c r="N193" s="18">
        <v>10</v>
      </c>
      <c r="O193" s="17">
        <v>4</v>
      </c>
      <c r="P193" s="17">
        <v>16</v>
      </c>
      <c r="Q193" s="17">
        <v>14</v>
      </c>
      <c r="R193" s="17">
        <v>13.5</v>
      </c>
      <c r="S193" s="17">
        <v>4</v>
      </c>
      <c r="T193" s="17">
        <v>25</v>
      </c>
      <c r="U193" s="18">
        <v>5</v>
      </c>
      <c r="V193" s="20">
        <v>131.5</v>
      </c>
    </row>
    <row r="194" spans="1:22" ht="43.8" thickBot="1">
      <c r="A194" s="23"/>
      <c r="B194" s="23" t="s">
        <v>475</v>
      </c>
      <c r="C194" s="22">
        <v>82264</v>
      </c>
      <c r="D194" s="22">
        <v>17469455</v>
      </c>
      <c r="E194" s="23" t="s">
        <v>476</v>
      </c>
      <c r="F194" s="24" t="s">
        <v>13</v>
      </c>
      <c r="G194" s="23" t="s">
        <v>17</v>
      </c>
      <c r="H194" s="21"/>
      <c r="I194" s="25">
        <v>5</v>
      </c>
      <c r="J194" s="25">
        <v>5</v>
      </c>
      <c r="K194" s="25">
        <v>5</v>
      </c>
      <c r="L194" s="25">
        <v>5</v>
      </c>
      <c r="M194" s="25">
        <v>10</v>
      </c>
      <c r="N194" s="26">
        <v>10</v>
      </c>
      <c r="O194" s="17">
        <v>7</v>
      </c>
      <c r="P194" s="25">
        <v>13</v>
      </c>
      <c r="Q194" s="25">
        <v>14</v>
      </c>
      <c r="R194" s="25">
        <v>3.5</v>
      </c>
      <c r="S194" s="25">
        <v>14</v>
      </c>
      <c r="T194" s="25">
        <v>25</v>
      </c>
      <c r="U194" s="26">
        <v>15</v>
      </c>
      <c r="V194" s="20">
        <v>131.5</v>
      </c>
    </row>
    <row r="195" spans="1:22" ht="43.8" thickBot="1">
      <c r="A195" s="14"/>
      <c r="B195" s="14" t="s">
        <v>145</v>
      </c>
      <c r="C195" s="15">
        <v>112187</v>
      </c>
      <c r="D195" s="15">
        <v>24158508</v>
      </c>
      <c r="E195" s="14" t="s">
        <v>146</v>
      </c>
      <c r="F195" s="16" t="s">
        <v>13</v>
      </c>
      <c r="G195" s="14" t="s">
        <v>40</v>
      </c>
      <c r="H195" s="14"/>
      <c r="I195" s="17">
        <v>10</v>
      </c>
      <c r="J195" s="17">
        <v>7</v>
      </c>
      <c r="K195" s="17">
        <v>10</v>
      </c>
      <c r="L195" s="17">
        <v>0</v>
      </c>
      <c r="M195" s="17">
        <v>10</v>
      </c>
      <c r="N195" s="18">
        <v>10</v>
      </c>
      <c r="O195" s="25">
        <v>6</v>
      </c>
      <c r="P195" s="25">
        <v>15</v>
      </c>
      <c r="Q195" s="17">
        <v>16</v>
      </c>
      <c r="R195" s="17">
        <v>12.5</v>
      </c>
      <c r="S195" s="17">
        <v>10</v>
      </c>
      <c r="T195" s="17">
        <v>21</v>
      </c>
      <c r="U195" s="18">
        <v>5</v>
      </c>
      <c r="V195" s="20">
        <v>132.5</v>
      </c>
    </row>
    <row r="196" spans="1:22" ht="43.8" thickBot="1">
      <c r="A196" s="23"/>
      <c r="B196" s="23" t="s">
        <v>61</v>
      </c>
      <c r="C196" s="22">
        <v>113882</v>
      </c>
      <c r="D196" s="22">
        <v>24182750</v>
      </c>
      <c r="E196" s="23" t="s">
        <v>62</v>
      </c>
      <c r="F196" s="24" t="s">
        <v>13</v>
      </c>
      <c r="G196" s="23" t="s">
        <v>20</v>
      </c>
      <c r="H196" s="21"/>
      <c r="I196" s="25">
        <v>10</v>
      </c>
      <c r="J196" s="25">
        <v>7</v>
      </c>
      <c r="K196" s="25">
        <v>10</v>
      </c>
      <c r="L196" s="25">
        <v>0</v>
      </c>
      <c r="M196" s="25">
        <v>5</v>
      </c>
      <c r="N196" s="26">
        <v>10</v>
      </c>
      <c r="O196" s="25">
        <v>2</v>
      </c>
      <c r="P196" s="25">
        <v>17</v>
      </c>
      <c r="Q196" s="25">
        <v>12</v>
      </c>
      <c r="R196" s="25">
        <v>12.5</v>
      </c>
      <c r="S196" s="25">
        <v>10</v>
      </c>
      <c r="T196" s="25">
        <v>25</v>
      </c>
      <c r="U196" s="26">
        <v>12</v>
      </c>
      <c r="V196" s="20">
        <v>132.5</v>
      </c>
    </row>
    <row r="197" spans="1:22" ht="43.8" thickBot="1">
      <c r="A197" s="14"/>
      <c r="B197" s="14" t="s">
        <v>709</v>
      </c>
      <c r="C197" s="15">
        <v>111190</v>
      </c>
      <c r="D197" s="15">
        <v>24143548</v>
      </c>
      <c r="E197" s="14" t="s">
        <v>710</v>
      </c>
      <c r="F197" s="16" t="s">
        <v>13</v>
      </c>
      <c r="G197" s="14" t="s">
        <v>17</v>
      </c>
      <c r="H197" s="14"/>
      <c r="I197" s="17">
        <v>5</v>
      </c>
      <c r="J197" s="17">
        <v>5</v>
      </c>
      <c r="K197" s="17">
        <v>10</v>
      </c>
      <c r="L197" s="17">
        <v>5</v>
      </c>
      <c r="M197" s="17">
        <v>10</v>
      </c>
      <c r="N197" s="18">
        <v>7</v>
      </c>
      <c r="O197" s="17">
        <v>6</v>
      </c>
      <c r="P197" s="17">
        <v>16</v>
      </c>
      <c r="Q197" s="17">
        <v>15</v>
      </c>
      <c r="R197" s="17">
        <v>10</v>
      </c>
      <c r="S197" s="17">
        <v>4</v>
      </c>
      <c r="T197" s="17">
        <v>25</v>
      </c>
      <c r="U197" s="18">
        <v>15</v>
      </c>
      <c r="V197" s="20">
        <v>133</v>
      </c>
    </row>
    <row r="198" spans="1:22" ht="43.8" thickBot="1">
      <c r="A198" s="23"/>
      <c r="B198" s="23" t="s">
        <v>579</v>
      </c>
      <c r="C198" s="22">
        <v>103794</v>
      </c>
      <c r="D198" s="22">
        <v>24035734</v>
      </c>
      <c r="E198" s="23" t="s">
        <v>580</v>
      </c>
      <c r="F198" s="24" t="s">
        <v>13</v>
      </c>
      <c r="G198" s="23" t="s">
        <v>20</v>
      </c>
      <c r="H198" s="21"/>
      <c r="I198" s="25">
        <v>7</v>
      </c>
      <c r="J198" s="25">
        <v>5</v>
      </c>
      <c r="K198" s="25">
        <v>10</v>
      </c>
      <c r="L198" s="25">
        <v>5</v>
      </c>
      <c r="M198" s="25">
        <v>0</v>
      </c>
      <c r="N198" s="26">
        <v>2</v>
      </c>
      <c r="O198" s="25">
        <v>16</v>
      </c>
      <c r="P198" s="25">
        <v>15</v>
      </c>
      <c r="Q198" s="25">
        <v>14</v>
      </c>
      <c r="R198" s="25">
        <v>13</v>
      </c>
      <c r="S198" s="25">
        <v>16</v>
      </c>
      <c r="T198" s="25">
        <v>25</v>
      </c>
      <c r="U198" s="26">
        <v>5</v>
      </c>
      <c r="V198" s="20">
        <v>133</v>
      </c>
    </row>
    <row r="199" spans="1:22" ht="43.8" thickBot="1">
      <c r="A199" s="14"/>
      <c r="B199" s="14" t="s">
        <v>199</v>
      </c>
      <c r="C199" s="15">
        <v>104350</v>
      </c>
      <c r="D199" s="15">
        <v>24036465</v>
      </c>
      <c r="E199" s="14" t="s">
        <v>200</v>
      </c>
      <c r="F199" s="16" t="s">
        <v>13</v>
      </c>
      <c r="G199" s="14" t="s">
        <v>17</v>
      </c>
      <c r="H199" s="14"/>
      <c r="I199" s="17">
        <v>0</v>
      </c>
      <c r="J199" s="17">
        <v>5</v>
      </c>
      <c r="K199" s="17">
        <v>5</v>
      </c>
      <c r="L199" s="17">
        <v>5</v>
      </c>
      <c r="M199" s="17">
        <v>0</v>
      </c>
      <c r="N199" s="18">
        <v>10</v>
      </c>
      <c r="O199" s="17">
        <v>15</v>
      </c>
      <c r="P199" s="17">
        <v>16</v>
      </c>
      <c r="Q199" s="17">
        <v>16</v>
      </c>
      <c r="R199" s="17">
        <v>15.5</v>
      </c>
      <c r="S199" s="17">
        <v>16</v>
      </c>
      <c r="T199" s="17">
        <v>25</v>
      </c>
      <c r="U199" s="18">
        <v>5</v>
      </c>
      <c r="V199" s="20">
        <v>133.5</v>
      </c>
    </row>
    <row r="200" spans="1:22" ht="43.8" thickBot="1">
      <c r="A200" s="23"/>
      <c r="B200" s="23" t="s">
        <v>139</v>
      </c>
      <c r="C200" s="22">
        <v>104254</v>
      </c>
      <c r="D200" s="22">
        <v>24036975</v>
      </c>
      <c r="E200" s="23" t="s">
        <v>140</v>
      </c>
      <c r="F200" s="24" t="s">
        <v>13</v>
      </c>
      <c r="G200" s="23" t="s">
        <v>40</v>
      </c>
      <c r="H200" s="21"/>
      <c r="I200" s="25">
        <v>10</v>
      </c>
      <c r="J200" s="25">
        <v>5</v>
      </c>
      <c r="K200" s="25">
        <v>10</v>
      </c>
      <c r="L200" s="25">
        <v>0</v>
      </c>
      <c r="M200" s="25">
        <v>0</v>
      </c>
      <c r="N200" s="26">
        <v>10</v>
      </c>
      <c r="O200" s="17">
        <v>14</v>
      </c>
      <c r="P200" s="25">
        <v>16</v>
      </c>
      <c r="Q200" s="17">
        <v>13</v>
      </c>
      <c r="R200" s="25">
        <v>15.5</v>
      </c>
      <c r="S200" s="25">
        <v>10</v>
      </c>
      <c r="T200" s="25">
        <v>25</v>
      </c>
      <c r="U200" s="26">
        <v>5</v>
      </c>
      <c r="V200" s="20">
        <v>133.5</v>
      </c>
    </row>
    <row r="201" spans="1:22" ht="43.8" thickBot="1">
      <c r="A201" s="14"/>
      <c r="B201" s="14" t="s">
        <v>635</v>
      </c>
      <c r="C201" s="15">
        <v>103331</v>
      </c>
      <c r="D201" s="15">
        <v>24037587</v>
      </c>
      <c r="E201" s="14" t="s">
        <v>636</v>
      </c>
      <c r="F201" s="16" t="s">
        <v>13</v>
      </c>
      <c r="G201" s="14" t="s">
        <v>40</v>
      </c>
      <c r="H201" s="14"/>
      <c r="I201" s="17">
        <v>5</v>
      </c>
      <c r="J201" s="17">
        <v>5</v>
      </c>
      <c r="K201" s="17">
        <v>0</v>
      </c>
      <c r="L201" s="17">
        <v>5</v>
      </c>
      <c r="M201" s="17">
        <v>10</v>
      </c>
      <c r="N201" s="18">
        <v>10</v>
      </c>
      <c r="O201" s="17">
        <v>5</v>
      </c>
      <c r="P201" s="17">
        <v>15</v>
      </c>
      <c r="Q201" s="17">
        <v>16</v>
      </c>
      <c r="R201" s="17">
        <v>6.5</v>
      </c>
      <c r="S201" s="17">
        <v>16</v>
      </c>
      <c r="T201" s="17">
        <v>25</v>
      </c>
      <c r="U201" s="18">
        <v>15</v>
      </c>
      <c r="V201" s="20">
        <v>133.5</v>
      </c>
    </row>
    <row r="202" spans="1:22" ht="43.8" thickBot="1">
      <c r="A202" s="23"/>
      <c r="B202" s="23" t="s">
        <v>307</v>
      </c>
      <c r="C202" s="22">
        <v>27010</v>
      </c>
      <c r="D202" s="22">
        <v>13963822</v>
      </c>
      <c r="E202" s="23" t="s">
        <v>308</v>
      </c>
      <c r="F202" s="24" t="s">
        <v>13</v>
      </c>
      <c r="G202" s="23" t="s">
        <v>27</v>
      </c>
      <c r="H202" s="21"/>
      <c r="I202" s="25">
        <v>5</v>
      </c>
      <c r="J202" s="25">
        <v>10</v>
      </c>
      <c r="K202" s="25">
        <v>10</v>
      </c>
      <c r="L202" s="25">
        <v>5</v>
      </c>
      <c r="M202" s="25">
        <v>0</v>
      </c>
      <c r="N202" s="26">
        <v>10</v>
      </c>
      <c r="O202" s="25">
        <v>16</v>
      </c>
      <c r="P202" s="25">
        <v>14</v>
      </c>
      <c r="Q202" s="25">
        <v>14</v>
      </c>
      <c r="R202" s="25">
        <v>14</v>
      </c>
      <c r="S202" s="25">
        <v>6</v>
      </c>
      <c r="T202" s="25">
        <v>15</v>
      </c>
      <c r="U202" s="26">
        <v>15</v>
      </c>
      <c r="V202" s="20">
        <v>134</v>
      </c>
    </row>
    <row r="203" spans="1:22" ht="43.8" thickBot="1">
      <c r="A203" s="14"/>
      <c r="B203" s="14" t="s">
        <v>555</v>
      </c>
      <c r="C203" s="15">
        <v>103266</v>
      </c>
      <c r="D203" s="15">
        <v>24037111</v>
      </c>
      <c r="E203" s="14" t="s">
        <v>556</v>
      </c>
      <c r="F203" s="16" t="s">
        <v>13</v>
      </c>
      <c r="G203" s="14" t="s">
        <v>40</v>
      </c>
      <c r="H203" s="14"/>
      <c r="I203" s="17">
        <v>10</v>
      </c>
      <c r="J203" s="17">
        <v>7</v>
      </c>
      <c r="K203" s="17">
        <v>0</v>
      </c>
      <c r="L203" s="17">
        <v>5</v>
      </c>
      <c r="M203" s="17">
        <v>5</v>
      </c>
      <c r="N203" s="18">
        <v>10</v>
      </c>
      <c r="O203" s="17">
        <v>6</v>
      </c>
      <c r="P203" s="17">
        <v>16</v>
      </c>
      <c r="Q203" s="17">
        <v>16</v>
      </c>
      <c r="R203" s="17">
        <v>11</v>
      </c>
      <c r="S203" s="17">
        <v>8</v>
      </c>
      <c r="T203" s="17">
        <v>25</v>
      </c>
      <c r="U203" s="18">
        <v>15</v>
      </c>
      <c r="V203" s="20">
        <v>134</v>
      </c>
    </row>
    <row r="204" spans="1:22" ht="43.8" thickBot="1">
      <c r="A204" s="23"/>
      <c r="B204" s="23" t="s">
        <v>107</v>
      </c>
      <c r="C204" s="22">
        <v>103690</v>
      </c>
      <c r="D204" s="22">
        <v>24037009</v>
      </c>
      <c r="E204" s="23" t="s">
        <v>108</v>
      </c>
      <c r="F204" s="24" t="s">
        <v>13</v>
      </c>
      <c r="G204" s="23" t="s">
        <v>27</v>
      </c>
      <c r="H204" s="21"/>
      <c r="I204" s="25">
        <v>10</v>
      </c>
      <c r="J204" s="25">
        <v>5</v>
      </c>
      <c r="K204" s="25">
        <v>10</v>
      </c>
      <c r="L204" s="25">
        <v>5</v>
      </c>
      <c r="M204" s="25">
        <v>5</v>
      </c>
      <c r="N204" s="26">
        <v>10</v>
      </c>
      <c r="O204" s="25">
        <v>9</v>
      </c>
      <c r="P204" s="25">
        <v>16</v>
      </c>
      <c r="Q204" s="25">
        <v>16</v>
      </c>
      <c r="R204" s="25">
        <v>15.5</v>
      </c>
      <c r="S204" s="25">
        <v>8</v>
      </c>
      <c r="T204" s="25">
        <v>25</v>
      </c>
      <c r="U204" s="26">
        <v>0</v>
      </c>
      <c r="V204" s="20">
        <v>134.5</v>
      </c>
    </row>
    <row r="205" spans="1:22" ht="43.8" thickBot="1">
      <c r="A205" s="14"/>
      <c r="B205" s="14" t="s">
        <v>217</v>
      </c>
      <c r="C205" s="15">
        <v>109737</v>
      </c>
      <c r="D205" s="15">
        <v>24119374</v>
      </c>
      <c r="E205" s="14" t="s">
        <v>218</v>
      </c>
      <c r="F205" s="16" t="s">
        <v>13</v>
      </c>
      <c r="G205" s="14" t="s">
        <v>20</v>
      </c>
      <c r="H205" s="14"/>
      <c r="I205" s="17">
        <v>5</v>
      </c>
      <c r="J205" s="17">
        <v>5</v>
      </c>
      <c r="K205" s="17">
        <v>10</v>
      </c>
      <c r="L205" s="17">
        <v>5</v>
      </c>
      <c r="M205" s="17">
        <v>10</v>
      </c>
      <c r="N205" s="18">
        <v>10</v>
      </c>
      <c r="O205" s="17">
        <v>5</v>
      </c>
      <c r="P205" s="17">
        <v>16</v>
      </c>
      <c r="Q205" s="17">
        <v>15</v>
      </c>
      <c r="R205" s="17">
        <v>15.5</v>
      </c>
      <c r="S205" s="17">
        <v>10</v>
      </c>
      <c r="T205" s="17">
        <v>25</v>
      </c>
      <c r="U205" s="18">
        <v>3</v>
      </c>
      <c r="V205" s="20">
        <v>134.5</v>
      </c>
    </row>
    <row r="206" spans="1:22" ht="43.8" thickBot="1">
      <c r="A206" s="23"/>
      <c r="B206" s="23" t="s">
        <v>331</v>
      </c>
      <c r="C206" s="22">
        <v>110994</v>
      </c>
      <c r="D206" s="22">
        <v>24140199</v>
      </c>
      <c r="E206" s="23" t="s">
        <v>332</v>
      </c>
      <c r="F206" s="24" t="s">
        <v>13</v>
      </c>
      <c r="G206" s="23" t="s">
        <v>17</v>
      </c>
      <c r="H206" s="21"/>
      <c r="I206" s="25">
        <v>10</v>
      </c>
      <c r="J206" s="25">
        <v>10</v>
      </c>
      <c r="K206" s="25">
        <v>5</v>
      </c>
      <c r="L206" s="25">
        <v>5</v>
      </c>
      <c r="M206" s="25">
        <v>0</v>
      </c>
      <c r="N206" s="26">
        <v>10</v>
      </c>
      <c r="O206" s="25">
        <v>8</v>
      </c>
      <c r="P206" s="25">
        <v>16</v>
      </c>
      <c r="Q206" s="25">
        <v>15</v>
      </c>
      <c r="R206" s="25">
        <v>6.5</v>
      </c>
      <c r="S206" s="25">
        <v>10</v>
      </c>
      <c r="T206" s="25">
        <v>25</v>
      </c>
      <c r="U206" s="26">
        <v>15</v>
      </c>
      <c r="V206" s="20">
        <v>135.5</v>
      </c>
    </row>
    <row r="207" spans="1:22" ht="43.8" thickBot="1">
      <c r="A207" s="14"/>
      <c r="B207" s="14" t="s">
        <v>347</v>
      </c>
      <c r="C207" s="15">
        <v>103294</v>
      </c>
      <c r="D207" s="15">
        <v>24036363</v>
      </c>
      <c r="E207" s="14" t="s">
        <v>348</v>
      </c>
      <c r="F207" s="16" t="s">
        <v>13</v>
      </c>
      <c r="G207" s="14" t="s">
        <v>27</v>
      </c>
      <c r="H207" s="14"/>
      <c r="I207" s="17">
        <v>10</v>
      </c>
      <c r="J207" s="17">
        <v>0</v>
      </c>
      <c r="K207" s="17">
        <v>5</v>
      </c>
      <c r="L207" s="17">
        <v>5</v>
      </c>
      <c r="M207" s="17">
        <v>5</v>
      </c>
      <c r="N207" s="18">
        <v>0</v>
      </c>
      <c r="O207" s="17">
        <v>10</v>
      </c>
      <c r="P207" s="17">
        <v>16</v>
      </c>
      <c r="Q207" s="17">
        <v>15</v>
      </c>
      <c r="R207" s="17">
        <v>15.5</v>
      </c>
      <c r="S207" s="17">
        <v>14</v>
      </c>
      <c r="T207" s="17">
        <v>25</v>
      </c>
      <c r="U207" s="18">
        <v>15</v>
      </c>
      <c r="V207" s="20">
        <v>135.5</v>
      </c>
    </row>
    <row r="208" spans="1:22" ht="43.8" thickBot="1">
      <c r="A208" s="23"/>
      <c r="B208" s="23" t="s">
        <v>575</v>
      </c>
      <c r="C208" s="22">
        <v>104204</v>
      </c>
      <c r="D208" s="22">
        <v>24037638</v>
      </c>
      <c r="E208" s="23" t="s">
        <v>576</v>
      </c>
      <c r="F208" s="24" t="s">
        <v>13</v>
      </c>
      <c r="G208" s="23" t="s">
        <v>27</v>
      </c>
      <c r="H208" s="21"/>
      <c r="I208" s="25">
        <v>10</v>
      </c>
      <c r="J208" s="25">
        <v>7</v>
      </c>
      <c r="K208" s="25">
        <v>10</v>
      </c>
      <c r="L208" s="25">
        <v>5</v>
      </c>
      <c r="M208" s="25">
        <v>10</v>
      </c>
      <c r="N208" s="26">
        <v>2</v>
      </c>
      <c r="O208" s="25">
        <v>7</v>
      </c>
      <c r="P208" s="25">
        <v>16</v>
      </c>
      <c r="Q208" s="25">
        <v>16</v>
      </c>
      <c r="R208" s="25">
        <v>9.5</v>
      </c>
      <c r="S208" s="25">
        <v>16</v>
      </c>
      <c r="T208" s="25">
        <v>25</v>
      </c>
      <c r="U208" s="26">
        <v>2</v>
      </c>
      <c r="V208" s="20">
        <v>135.5</v>
      </c>
    </row>
    <row r="209" spans="1:22" ht="43.8" thickBot="1">
      <c r="A209" s="14"/>
      <c r="B209" s="14" t="s">
        <v>151</v>
      </c>
      <c r="C209" s="15">
        <v>109892</v>
      </c>
      <c r="D209" s="15">
        <v>24123012</v>
      </c>
      <c r="E209" s="14" t="s">
        <v>152</v>
      </c>
      <c r="F209" s="16" t="s">
        <v>13</v>
      </c>
      <c r="G209" s="14" t="s">
        <v>40</v>
      </c>
      <c r="H209" s="14"/>
      <c r="I209" s="17">
        <v>10</v>
      </c>
      <c r="J209" s="17">
        <v>5</v>
      </c>
      <c r="K209" s="17">
        <v>10</v>
      </c>
      <c r="L209" s="17">
        <v>5</v>
      </c>
      <c r="M209" s="17">
        <v>5</v>
      </c>
      <c r="N209" s="18">
        <v>10</v>
      </c>
      <c r="O209" s="25">
        <v>11</v>
      </c>
      <c r="P209" s="25">
        <v>16</v>
      </c>
      <c r="Q209" s="17">
        <v>14</v>
      </c>
      <c r="R209" s="17">
        <v>6.5</v>
      </c>
      <c r="S209" s="17">
        <v>16</v>
      </c>
      <c r="T209" s="17">
        <v>25</v>
      </c>
      <c r="U209" s="18">
        <v>2</v>
      </c>
      <c r="V209" s="20">
        <v>135.5</v>
      </c>
    </row>
    <row r="210" spans="1:22" ht="43.8" thickBot="1">
      <c r="A210" s="23"/>
      <c r="B210" s="23" t="s">
        <v>313</v>
      </c>
      <c r="C210" s="22">
        <v>103508</v>
      </c>
      <c r="D210" s="22">
        <v>24036057</v>
      </c>
      <c r="E210" s="23" t="s">
        <v>314</v>
      </c>
      <c r="F210" s="24" t="s">
        <v>13</v>
      </c>
      <c r="G210" s="23" t="s">
        <v>14</v>
      </c>
      <c r="H210" s="21"/>
      <c r="I210" s="25">
        <v>10</v>
      </c>
      <c r="J210" s="25">
        <v>5</v>
      </c>
      <c r="K210" s="25">
        <v>0</v>
      </c>
      <c r="L210" s="25">
        <v>5</v>
      </c>
      <c r="M210" s="25">
        <v>10</v>
      </c>
      <c r="N210" s="26">
        <v>7</v>
      </c>
      <c r="O210" s="25">
        <v>4</v>
      </c>
      <c r="P210" s="25">
        <v>16</v>
      </c>
      <c r="Q210" s="25">
        <v>16</v>
      </c>
      <c r="R210" s="25">
        <v>6.5</v>
      </c>
      <c r="S210" s="25">
        <v>16</v>
      </c>
      <c r="T210" s="25">
        <v>25</v>
      </c>
      <c r="U210" s="26">
        <v>15</v>
      </c>
      <c r="V210" s="20">
        <v>135.5</v>
      </c>
    </row>
    <row r="211" spans="1:22" ht="43.8" thickBot="1">
      <c r="A211" s="14"/>
      <c r="B211" s="14" t="s">
        <v>403</v>
      </c>
      <c r="C211" s="15">
        <v>109878</v>
      </c>
      <c r="D211" s="15">
        <v>24122893</v>
      </c>
      <c r="E211" s="14" t="s">
        <v>404</v>
      </c>
      <c r="F211" s="16" t="s">
        <v>13</v>
      </c>
      <c r="G211" s="14" t="s">
        <v>14</v>
      </c>
      <c r="H211" s="14"/>
      <c r="I211" s="17">
        <v>10</v>
      </c>
      <c r="J211" s="17">
        <v>7</v>
      </c>
      <c r="K211" s="17">
        <v>10</v>
      </c>
      <c r="L211" s="17">
        <v>5</v>
      </c>
      <c r="M211" s="17">
        <v>0</v>
      </c>
      <c r="N211" s="18">
        <v>10</v>
      </c>
      <c r="O211" s="17">
        <v>9</v>
      </c>
      <c r="P211" s="17">
        <v>13</v>
      </c>
      <c r="Q211" s="17">
        <v>16</v>
      </c>
      <c r="R211" s="17">
        <v>13</v>
      </c>
      <c r="S211" s="17">
        <v>13</v>
      </c>
      <c r="T211" s="17">
        <v>25</v>
      </c>
      <c r="U211" s="18">
        <v>5</v>
      </c>
      <c r="V211" s="20">
        <v>136</v>
      </c>
    </row>
    <row r="212" spans="1:22" ht="43.8" thickBot="1">
      <c r="A212" s="23"/>
      <c r="B212" s="23" t="s">
        <v>679</v>
      </c>
      <c r="C212" s="22">
        <v>113843</v>
      </c>
      <c r="D212" s="22">
        <v>24182274</v>
      </c>
      <c r="E212" s="23" t="s">
        <v>680</v>
      </c>
      <c r="F212" s="24" t="s">
        <v>13</v>
      </c>
      <c r="G212" s="23" t="s">
        <v>14</v>
      </c>
      <c r="H212" s="21"/>
      <c r="I212" s="25">
        <v>10</v>
      </c>
      <c r="J212" s="25">
        <v>7</v>
      </c>
      <c r="K212" s="25">
        <v>10</v>
      </c>
      <c r="L212" s="25">
        <v>5</v>
      </c>
      <c r="M212" s="25">
        <v>0</v>
      </c>
      <c r="N212" s="26">
        <v>7</v>
      </c>
      <c r="O212" s="25">
        <v>16</v>
      </c>
      <c r="P212" s="25">
        <v>16</v>
      </c>
      <c r="Q212" s="25">
        <v>13</v>
      </c>
      <c r="R212" s="25">
        <v>6</v>
      </c>
      <c r="S212" s="25">
        <v>16</v>
      </c>
      <c r="T212" s="25">
        <v>25</v>
      </c>
      <c r="U212" s="26">
        <v>5</v>
      </c>
      <c r="V212" s="20">
        <v>136</v>
      </c>
    </row>
    <row r="213" spans="1:22" ht="43.8" thickBot="1">
      <c r="A213" s="14"/>
      <c r="B213" s="14" t="s">
        <v>443</v>
      </c>
      <c r="C213" s="15">
        <v>104095</v>
      </c>
      <c r="D213" s="15">
        <v>24036958</v>
      </c>
      <c r="E213" s="14" t="s">
        <v>444</v>
      </c>
      <c r="F213" s="16" t="s">
        <v>13</v>
      </c>
      <c r="G213" s="14" t="s">
        <v>17</v>
      </c>
      <c r="H213" s="14"/>
      <c r="I213" s="17">
        <v>10</v>
      </c>
      <c r="J213" s="17">
        <v>7</v>
      </c>
      <c r="K213" s="17">
        <v>10</v>
      </c>
      <c r="L213" s="17">
        <v>0</v>
      </c>
      <c r="M213" s="17">
        <v>0</v>
      </c>
      <c r="N213" s="18">
        <v>10</v>
      </c>
      <c r="O213" s="17">
        <v>12</v>
      </c>
      <c r="P213" s="17">
        <v>15</v>
      </c>
      <c r="Q213" s="17">
        <v>16</v>
      </c>
      <c r="R213" s="17">
        <v>10.5</v>
      </c>
      <c r="S213" s="17">
        <v>16</v>
      </c>
      <c r="T213" s="17">
        <v>25</v>
      </c>
      <c r="U213" s="18">
        <v>5</v>
      </c>
      <c r="V213" s="20">
        <v>136.5</v>
      </c>
    </row>
    <row r="214" spans="1:22" ht="43.8" thickBot="1">
      <c r="A214" s="23"/>
      <c r="B214" s="23" t="s">
        <v>451</v>
      </c>
      <c r="C214" s="22">
        <v>109981</v>
      </c>
      <c r="D214" s="22">
        <v>24122519</v>
      </c>
      <c r="E214" s="23" t="s">
        <v>452</v>
      </c>
      <c r="F214" s="24" t="s">
        <v>13</v>
      </c>
      <c r="G214" s="23" t="s">
        <v>17</v>
      </c>
      <c r="H214" s="21"/>
      <c r="I214" s="25">
        <v>10</v>
      </c>
      <c r="J214" s="25">
        <v>8</v>
      </c>
      <c r="K214" s="25">
        <v>5</v>
      </c>
      <c r="L214" s="25">
        <v>0</v>
      </c>
      <c r="M214" s="25">
        <v>10</v>
      </c>
      <c r="N214" s="26">
        <v>2</v>
      </c>
      <c r="O214" s="25">
        <v>5</v>
      </c>
      <c r="P214" s="25">
        <v>15</v>
      </c>
      <c r="Q214" s="25">
        <v>16</v>
      </c>
      <c r="R214" s="25">
        <v>9.5</v>
      </c>
      <c r="S214" s="25">
        <v>16</v>
      </c>
      <c r="T214" s="25">
        <v>25</v>
      </c>
      <c r="U214" s="26">
        <v>15</v>
      </c>
      <c r="V214" s="20">
        <v>136.5</v>
      </c>
    </row>
    <row r="215" spans="1:22" ht="43.8" thickBot="1">
      <c r="A215" s="14"/>
      <c r="B215" s="14" t="s">
        <v>115</v>
      </c>
      <c r="C215" s="15">
        <v>87924</v>
      </c>
      <c r="D215" s="15">
        <v>17548114</v>
      </c>
      <c r="E215" s="14" t="s">
        <v>116</v>
      </c>
      <c r="F215" s="16" t="s">
        <v>13</v>
      </c>
      <c r="G215" s="14" t="s">
        <v>14</v>
      </c>
      <c r="H215" s="14"/>
      <c r="I215" s="17">
        <v>5</v>
      </c>
      <c r="J215" s="17">
        <v>5</v>
      </c>
      <c r="K215" s="17">
        <v>5</v>
      </c>
      <c r="L215" s="17">
        <v>5</v>
      </c>
      <c r="M215" s="17">
        <v>10</v>
      </c>
      <c r="N215" s="18">
        <v>10</v>
      </c>
      <c r="O215" s="17">
        <v>5</v>
      </c>
      <c r="P215" s="17">
        <v>16</v>
      </c>
      <c r="Q215" s="17">
        <v>16</v>
      </c>
      <c r="R215" s="17">
        <v>12.5</v>
      </c>
      <c r="S215" s="17">
        <v>7</v>
      </c>
      <c r="T215" s="17">
        <v>25</v>
      </c>
      <c r="U215" s="18">
        <v>15</v>
      </c>
      <c r="V215" s="20">
        <v>136.5</v>
      </c>
    </row>
    <row r="216" spans="1:22" ht="43.8" thickBot="1">
      <c r="A216" s="23"/>
      <c r="B216" s="23" t="s">
        <v>325</v>
      </c>
      <c r="C216" s="22">
        <v>109872</v>
      </c>
      <c r="D216" s="22">
        <v>24122621</v>
      </c>
      <c r="E216" s="23" t="s">
        <v>326</v>
      </c>
      <c r="F216" s="24" t="s">
        <v>13</v>
      </c>
      <c r="G216" s="23" t="s">
        <v>14</v>
      </c>
      <c r="H216" s="21"/>
      <c r="I216" s="25">
        <v>10</v>
      </c>
      <c r="J216" s="25">
        <v>5</v>
      </c>
      <c r="K216" s="25">
        <v>5</v>
      </c>
      <c r="L216" s="25">
        <v>5</v>
      </c>
      <c r="M216" s="25">
        <v>10</v>
      </c>
      <c r="N216" s="26">
        <v>10</v>
      </c>
      <c r="O216" s="25">
        <v>16</v>
      </c>
      <c r="P216" s="25">
        <v>16</v>
      </c>
      <c r="Q216" s="25">
        <v>14</v>
      </c>
      <c r="R216" s="25">
        <v>12.5</v>
      </c>
      <c r="S216" s="25">
        <v>7</v>
      </c>
      <c r="T216" s="25">
        <v>25</v>
      </c>
      <c r="U216" s="26">
        <v>1</v>
      </c>
      <c r="V216" s="20">
        <v>136.5</v>
      </c>
    </row>
    <row r="217" spans="1:22" ht="43.8" thickBot="1">
      <c r="A217" s="14"/>
      <c r="B217" s="14" t="s">
        <v>119</v>
      </c>
      <c r="C217" s="15">
        <v>104572</v>
      </c>
      <c r="D217" s="15">
        <v>24036295</v>
      </c>
      <c r="E217" s="14" t="s">
        <v>120</v>
      </c>
      <c r="F217" s="16" t="s">
        <v>13</v>
      </c>
      <c r="G217" s="14" t="s">
        <v>17</v>
      </c>
      <c r="H217" s="14"/>
      <c r="I217" s="17">
        <v>5</v>
      </c>
      <c r="J217" s="17">
        <v>5</v>
      </c>
      <c r="K217" s="17">
        <v>0</v>
      </c>
      <c r="L217" s="17">
        <v>10</v>
      </c>
      <c r="M217" s="17">
        <v>5</v>
      </c>
      <c r="N217" s="18">
        <v>10</v>
      </c>
      <c r="O217" s="17">
        <v>16</v>
      </c>
      <c r="P217" s="17">
        <v>16</v>
      </c>
      <c r="Q217" s="17">
        <v>16</v>
      </c>
      <c r="R217" s="17">
        <v>13.5</v>
      </c>
      <c r="S217" s="17">
        <v>16</v>
      </c>
      <c r="T217" s="17">
        <v>21</v>
      </c>
      <c r="U217" s="18">
        <v>4</v>
      </c>
      <c r="V217" s="20">
        <v>137.5</v>
      </c>
    </row>
    <row r="218" spans="1:22" ht="43.8" thickBot="1">
      <c r="A218" s="23"/>
      <c r="B218" s="23" t="s">
        <v>615</v>
      </c>
      <c r="C218" s="22">
        <v>104616</v>
      </c>
      <c r="D218" s="22">
        <v>24012121</v>
      </c>
      <c r="E218" s="23" t="s">
        <v>616</v>
      </c>
      <c r="F218" s="24" t="s">
        <v>13</v>
      </c>
      <c r="G218" s="23" t="s">
        <v>27</v>
      </c>
      <c r="H218" s="21"/>
      <c r="I218" s="25">
        <v>5</v>
      </c>
      <c r="J218" s="25">
        <v>5</v>
      </c>
      <c r="K218" s="25">
        <v>10</v>
      </c>
      <c r="L218" s="25">
        <v>5</v>
      </c>
      <c r="M218" s="25">
        <v>0</v>
      </c>
      <c r="N218" s="26">
        <v>10</v>
      </c>
      <c r="O218" s="25">
        <v>15</v>
      </c>
      <c r="P218" s="25">
        <v>13</v>
      </c>
      <c r="Q218" s="25">
        <v>16</v>
      </c>
      <c r="R218" s="25">
        <v>12.5</v>
      </c>
      <c r="S218" s="25">
        <v>16</v>
      </c>
      <c r="T218" s="25">
        <v>25</v>
      </c>
      <c r="U218" s="26">
        <v>5</v>
      </c>
      <c r="V218" s="20">
        <v>137.5</v>
      </c>
    </row>
    <row r="219" spans="1:22" ht="43.8" thickBot="1">
      <c r="A219" s="14"/>
      <c r="B219" s="14" t="s">
        <v>361</v>
      </c>
      <c r="C219" s="15">
        <v>111096</v>
      </c>
      <c r="D219" s="15">
        <v>24142188</v>
      </c>
      <c r="E219" s="14" t="s">
        <v>362</v>
      </c>
      <c r="F219" s="16" t="s">
        <v>13</v>
      </c>
      <c r="G219" s="14" t="s">
        <v>14</v>
      </c>
      <c r="H219" s="14"/>
      <c r="I219" s="17">
        <v>10</v>
      </c>
      <c r="J219" s="17">
        <v>2</v>
      </c>
      <c r="K219" s="17">
        <v>5</v>
      </c>
      <c r="L219" s="17">
        <v>5</v>
      </c>
      <c r="M219" s="17">
        <v>0</v>
      </c>
      <c r="N219" s="18">
        <v>7</v>
      </c>
      <c r="O219" s="17">
        <v>16</v>
      </c>
      <c r="P219" s="17">
        <v>16</v>
      </c>
      <c r="Q219" s="17">
        <v>16</v>
      </c>
      <c r="R219" s="17">
        <v>14.5</v>
      </c>
      <c r="S219" s="17">
        <v>16</v>
      </c>
      <c r="T219" s="17">
        <v>25</v>
      </c>
      <c r="U219" s="18">
        <v>5</v>
      </c>
      <c r="V219" s="20">
        <v>137.5</v>
      </c>
    </row>
    <row r="220" spans="1:22" ht="43.8" thickBot="1">
      <c r="A220" s="23"/>
      <c r="B220" s="23" t="s">
        <v>283</v>
      </c>
      <c r="C220" s="22">
        <v>108803</v>
      </c>
      <c r="D220" s="22">
        <v>24105247</v>
      </c>
      <c r="E220" s="23" t="s">
        <v>284</v>
      </c>
      <c r="F220" s="24" t="s">
        <v>13</v>
      </c>
      <c r="G220" s="23" t="s">
        <v>17</v>
      </c>
      <c r="H220" s="21"/>
      <c r="I220" s="25">
        <v>10</v>
      </c>
      <c r="J220" s="25">
        <v>10</v>
      </c>
      <c r="K220" s="25">
        <v>10</v>
      </c>
      <c r="L220" s="25">
        <v>5</v>
      </c>
      <c r="M220" s="25">
        <v>5</v>
      </c>
      <c r="N220" s="26">
        <v>10</v>
      </c>
      <c r="O220" s="25">
        <v>3</v>
      </c>
      <c r="P220" s="25">
        <v>20</v>
      </c>
      <c r="Q220" s="25">
        <v>16</v>
      </c>
      <c r="R220" s="25">
        <v>10</v>
      </c>
      <c r="S220" s="25">
        <v>13</v>
      </c>
      <c r="T220" s="25">
        <v>21</v>
      </c>
      <c r="U220" s="26">
        <v>5</v>
      </c>
      <c r="V220" s="20">
        <v>138</v>
      </c>
    </row>
    <row r="221" spans="1:22" ht="43.8" thickBot="1">
      <c r="A221" s="14"/>
      <c r="B221" s="14" t="s">
        <v>349</v>
      </c>
      <c r="C221" s="15">
        <v>108062</v>
      </c>
      <c r="D221" s="15">
        <v>24092820</v>
      </c>
      <c r="E221" s="14" t="s">
        <v>350</v>
      </c>
      <c r="F221" s="16" t="s">
        <v>13</v>
      </c>
      <c r="G221" s="14" t="s">
        <v>27</v>
      </c>
      <c r="H221" s="14"/>
      <c r="I221" s="17">
        <v>5</v>
      </c>
      <c r="J221" s="17">
        <v>5</v>
      </c>
      <c r="K221" s="17">
        <v>10</v>
      </c>
      <c r="L221" s="17">
        <v>5</v>
      </c>
      <c r="M221" s="17">
        <v>5</v>
      </c>
      <c r="N221" s="18">
        <v>10</v>
      </c>
      <c r="O221" s="17">
        <v>8</v>
      </c>
      <c r="P221" s="17">
        <v>16</v>
      </c>
      <c r="Q221" s="17">
        <v>15</v>
      </c>
      <c r="R221" s="17">
        <v>13</v>
      </c>
      <c r="S221" s="17">
        <v>16</v>
      </c>
      <c r="T221" s="17">
        <v>25</v>
      </c>
      <c r="U221" s="18">
        <v>5</v>
      </c>
      <c r="V221" s="20">
        <v>138</v>
      </c>
    </row>
    <row r="222" spans="1:22" ht="43.8" thickBot="1">
      <c r="A222" s="23"/>
      <c r="B222" s="23" t="s">
        <v>489</v>
      </c>
      <c r="C222" s="22">
        <v>104030</v>
      </c>
      <c r="D222" s="22">
        <v>24036346</v>
      </c>
      <c r="E222" s="23" t="s">
        <v>490</v>
      </c>
      <c r="F222" s="24" t="s">
        <v>13</v>
      </c>
      <c r="G222" s="23" t="s">
        <v>17</v>
      </c>
      <c r="H222" s="21"/>
      <c r="I222" s="25">
        <v>10</v>
      </c>
      <c r="J222" s="25">
        <v>5</v>
      </c>
      <c r="K222" s="25">
        <v>10</v>
      </c>
      <c r="L222" s="25">
        <v>5</v>
      </c>
      <c r="M222" s="25">
        <v>5</v>
      </c>
      <c r="N222" s="26">
        <v>7</v>
      </c>
      <c r="O222" s="25">
        <v>12</v>
      </c>
      <c r="P222" s="25">
        <v>16</v>
      </c>
      <c r="Q222" s="25">
        <v>16</v>
      </c>
      <c r="R222" s="25">
        <v>15.5</v>
      </c>
      <c r="S222" s="25">
        <v>10</v>
      </c>
      <c r="T222" s="25">
        <v>25</v>
      </c>
      <c r="U222" s="26">
        <v>2</v>
      </c>
      <c r="V222" s="20">
        <v>138.5</v>
      </c>
    </row>
    <row r="223" spans="1:22" ht="43.8" thickBot="1">
      <c r="A223" s="14"/>
      <c r="B223" s="14" t="s">
        <v>595</v>
      </c>
      <c r="C223" s="15">
        <v>109951</v>
      </c>
      <c r="D223" s="15">
        <v>24122808</v>
      </c>
      <c r="E223" s="14" t="s">
        <v>596</v>
      </c>
      <c r="F223" s="16" t="s">
        <v>13</v>
      </c>
      <c r="G223" s="14" t="s">
        <v>17</v>
      </c>
      <c r="H223" s="14"/>
      <c r="I223" s="17">
        <v>10</v>
      </c>
      <c r="J223" s="17">
        <v>5</v>
      </c>
      <c r="K223" s="17">
        <v>10</v>
      </c>
      <c r="L223" s="17">
        <v>0</v>
      </c>
      <c r="M223" s="17">
        <v>10</v>
      </c>
      <c r="N223" s="18">
        <v>5</v>
      </c>
      <c r="O223" s="17">
        <v>16</v>
      </c>
      <c r="P223" s="17">
        <v>16</v>
      </c>
      <c r="Q223" s="17">
        <v>16</v>
      </c>
      <c r="R223" s="17">
        <v>10.5</v>
      </c>
      <c r="S223" s="17">
        <v>14</v>
      </c>
      <c r="T223" s="17">
        <v>25</v>
      </c>
      <c r="U223" s="18">
        <v>1</v>
      </c>
      <c r="V223" s="20">
        <v>138.5</v>
      </c>
    </row>
    <row r="224" spans="1:22" ht="72.599999999999994" thickBot="1">
      <c r="A224" s="23"/>
      <c r="B224" s="23" t="s">
        <v>195</v>
      </c>
      <c r="C224" s="22">
        <v>104033</v>
      </c>
      <c r="D224" s="22">
        <v>24036618</v>
      </c>
      <c r="E224" s="23" t="s">
        <v>196</v>
      </c>
      <c r="F224" s="24" t="s">
        <v>13</v>
      </c>
      <c r="G224" s="23" t="s">
        <v>14</v>
      </c>
      <c r="H224" s="21"/>
      <c r="I224" s="25">
        <v>10</v>
      </c>
      <c r="J224" s="25">
        <v>2</v>
      </c>
      <c r="K224" s="25">
        <v>5</v>
      </c>
      <c r="L224" s="25">
        <v>0</v>
      </c>
      <c r="M224" s="25">
        <v>10</v>
      </c>
      <c r="N224" s="26">
        <v>7</v>
      </c>
      <c r="O224" s="25">
        <v>16</v>
      </c>
      <c r="P224" s="25">
        <v>16</v>
      </c>
      <c r="Q224" s="25">
        <v>14</v>
      </c>
      <c r="R224" s="25">
        <v>15.5</v>
      </c>
      <c r="S224" s="25">
        <v>13</v>
      </c>
      <c r="T224" s="25">
        <v>25</v>
      </c>
      <c r="U224" s="26">
        <v>5</v>
      </c>
      <c r="V224" s="20">
        <v>138.5</v>
      </c>
    </row>
    <row r="225" spans="1:22" ht="43.8" thickBot="1">
      <c r="A225" s="14"/>
      <c r="B225" s="14" t="s">
        <v>263</v>
      </c>
      <c r="C225" s="15">
        <v>104392</v>
      </c>
      <c r="D225" s="15">
        <v>24036125</v>
      </c>
      <c r="E225" s="14" t="s">
        <v>264</v>
      </c>
      <c r="F225" s="16" t="s">
        <v>13</v>
      </c>
      <c r="G225" s="14" t="s">
        <v>27</v>
      </c>
      <c r="H225" s="14"/>
      <c r="I225" s="17">
        <v>10</v>
      </c>
      <c r="J225" s="17">
        <v>0</v>
      </c>
      <c r="K225" s="17">
        <v>10</v>
      </c>
      <c r="L225" s="17">
        <v>5</v>
      </c>
      <c r="M225" s="17">
        <v>0</v>
      </c>
      <c r="N225" s="18">
        <v>10</v>
      </c>
      <c r="O225" s="17">
        <v>12</v>
      </c>
      <c r="P225" s="17">
        <v>14</v>
      </c>
      <c r="Q225" s="17">
        <v>14</v>
      </c>
      <c r="R225" s="17">
        <v>16</v>
      </c>
      <c r="S225" s="17">
        <v>8</v>
      </c>
      <c r="T225" s="17">
        <v>25</v>
      </c>
      <c r="U225" s="18">
        <v>15</v>
      </c>
      <c r="V225" s="20">
        <v>139</v>
      </c>
    </row>
    <row r="226" spans="1:22" ht="43.8" thickBot="1">
      <c r="A226" s="23"/>
      <c r="B226" s="23" t="s">
        <v>225</v>
      </c>
      <c r="C226" s="22">
        <v>107237</v>
      </c>
      <c r="D226" s="22">
        <v>24080121</v>
      </c>
      <c r="E226" s="23" t="s">
        <v>226</v>
      </c>
      <c r="F226" s="24" t="s">
        <v>13</v>
      </c>
      <c r="G226" s="23" t="s">
        <v>40</v>
      </c>
      <c r="H226" s="21"/>
      <c r="I226" s="25">
        <v>8</v>
      </c>
      <c r="J226" s="25">
        <v>5</v>
      </c>
      <c r="K226" s="25">
        <v>10</v>
      </c>
      <c r="L226" s="25">
        <v>5</v>
      </c>
      <c r="M226" s="25">
        <v>5</v>
      </c>
      <c r="N226" s="26">
        <v>10</v>
      </c>
      <c r="O226" s="25">
        <v>16</v>
      </c>
      <c r="P226" s="25">
        <v>16</v>
      </c>
      <c r="Q226" s="25">
        <v>14</v>
      </c>
      <c r="R226" s="25">
        <v>12.5</v>
      </c>
      <c r="S226" s="25">
        <v>8</v>
      </c>
      <c r="T226" s="25">
        <v>25</v>
      </c>
      <c r="U226" s="26">
        <v>5</v>
      </c>
      <c r="V226" s="20">
        <v>139.5</v>
      </c>
    </row>
    <row r="227" spans="1:22" ht="43.8" thickBot="1">
      <c r="A227" s="14"/>
      <c r="B227" s="14" t="s">
        <v>675</v>
      </c>
      <c r="C227" s="15">
        <v>108413</v>
      </c>
      <c r="D227" s="15">
        <v>24099365</v>
      </c>
      <c r="E227" s="14" t="s">
        <v>676</v>
      </c>
      <c r="F227" s="16" t="s">
        <v>13</v>
      </c>
      <c r="G227" s="14" t="s">
        <v>40</v>
      </c>
      <c r="H227" s="14"/>
      <c r="I227" s="17">
        <v>5</v>
      </c>
      <c r="J227" s="17">
        <v>5</v>
      </c>
      <c r="K227" s="17">
        <v>10</v>
      </c>
      <c r="L227" s="17">
        <v>0</v>
      </c>
      <c r="M227" s="17">
        <v>5</v>
      </c>
      <c r="N227" s="18">
        <v>10</v>
      </c>
      <c r="O227" s="17">
        <v>9</v>
      </c>
      <c r="P227" s="17">
        <v>16</v>
      </c>
      <c r="Q227" s="17">
        <v>16</v>
      </c>
      <c r="R227" s="17">
        <v>15.5</v>
      </c>
      <c r="S227" s="17">
        <v>16</v>
      </c>
      <c r="T227" s="17">
        <v>25</v>
      </c>
      <c r="U227" s="18">
        <v>7</v>
      </c>
      <c r="V227" s="20">
        <v>139.5</v>
      </c>
    </row>
    <row r="228" spans="1:22" ht="43.8" thickBot="1">
      <c r="A228" s="23"/>
      <c r="B228" s="23" t="s">
        <v>369</v>
      </c>
      <c r="C228" s="22">
        <v>104411</v>
      </c>
      <c r="D228" s="22">
        <v>24035836</v>
      </c>
      <c r="E228" s="23" t="s">
        <v>370</v>
      </c>
      <c r="F228" s="24" t="s">
        <v>13</v>
      </c>
      <c r="G228" s="23" t="s">
        <v>27</v>
      </c>
      <c r="H228" s="21"/>
      <c r="I228" s="25">
        <v>5</v>
      </c>
      <c r="J228" s="25">
        <v>5</v>
      </c>
      <c r="K228" s="25">
        <v>10</v>
      </c>
      <c r="L228" s="25">
        <v>5</v>
      </c>
      <c r="M228" s="25">
        <v>5</v>
      </c>
      <c r="N228" s="26">
        <v>7</v>
      </c>
      <c r="O228" s="25">
        <v>16</v>
      </c>
      <c r="P228" s="25">
        <v>16</v>
      </c>
      <c r="Q228" s="25">
        <v>16</v>
      </c>
      <c r="R228" s="25">
        <v>16</v>
      </c>
      <c r="S228" s="25">
        <v>16</v>
      </c>
      <c r="T228" s="25">
        <v>8</v>
      </c>
      <c r="U228" s="26">
        <v>15</v>
      </c>
      <c r="V228" s="20">
        <v>140</v>
      </c>
    </row>
    <row r="229" spans="1:22" ht="43.8" thickBot="1">
      <c r="A229" s="14"/>
      <c r="B229" s="14" t="s">
        <v>275</v>
      </c>
      <c r="C229" s="15">
        <v>104619</v>
      </c>
      <c r="D229" s="15">
        <v>24035870</v>
      </c>
      <c r="E229" s="14" t="s">
        <v>276</v>
      </c>
      <c r="F229" s="16" t="s">
        <v>13</v>
      </c>
      <c r="G229" s="14" t="s">
        <v>14</v>
      </c>
      <c r="H229" s="14"/>
      <c r="I229" s="17">
        <v>10</v>
      </c>
      <c r="J229" s="17">
        <v>5</v>
      </c>
      <c r="K229" s="17">
        <v>10</v>
      </c>
      <c r="L229" s="17">
        <v>5</v>
      </c>
      <c r="M229" s="17">
        <v>10</v>
      </c>
      <c r="N229" s="18">
        <v>2</v>
      </c>
      <c r="O229" s="17">
        <v>16</v>
      </c>
      <c r="P229" s="17">
        <v>16</v>
      </c>
      <c r="Q229" s="17">
        <v>16</v>
      </c>
      <c r="R229" s="17">
        <v>15.5</v>
      </c>
      <c r="S229" s="17">
        <v>14</v>
      </c>
      <c r="T229" s="17">
        <v>16</v>
      </c>
      <c r="U229" s="18">
        <v>5</v>
      </c>
      <c r="V229" s="20">
        <v>140.5</v>
      </c>
    </row>
    <row r="230" spans="1:22" ht="43.8" thickBot="1">
      <c r="A230" s="23"/>
      <c r="B230" s="23" t="s">
        <v>481</v>
      </c>
      <c r="C230" s="22">
        <v>112209</v>
      </c>
      <c r="D230" s="22">
        <v>24158338</v>
      </c>
      <c r="E230" s="23" t="s">
        <v>482</v>
      </c>
      <c r="F230" s="24" t="s">
        <v>13</v>
      </c>
      <c r="G230" s="23" t="s">
        <v>14</v>
      </c>
      <c r="H230" s="21"/>
      <c r="I230" s="25">
        <v>5</v>
      </c>
      <c r="J230" s="25">
        <v>10</v>
      </c>
      <c r="K230" s="25">
        <v>5</v>
      </c>
      <c r="L230" s="25">
        <v>5</v>
      </c>
      <c r="M230" s="25">
        <v>10</v>
      </c>
      <c r="N230" s="26">
        <v>10</v>
      </c>
      <c r="O230" s="25">
        <v>4</v>
      </c>
      <c r="P230" s="25">
        <v>16</v>
      </c>
      <c r="Q230" s="25">
        <v>16</v>
      </c>
      <c r="R230" s="25">
        <v>12.5</v>
      </c>
      <c r="S230" s="25">
        <v>8</v>
      </c>
      <c r="T230" s="25">
        <v>25</v>
      </c>
      <c r="U230" s="26">
        <v>14</v>
      </c>
      <c r="V230" s="20">
        <v>140.5</v>
      </c>
    </row>
    <row r="231" spans="1:22" ht="43.8" thickBot="1">
      <c r="A231" s="14"/>
      <c r="B231" s="14" t="s">
        <v>509</v>
      </c>
      <c r="C231" s="15">
        <v>111057</v>
      </c>
      <c r="D231" s="15">
        <v>24142103</v>
      </c>
      <c r="E231" s="14" t="s">
        <v>510</v>
      </c>
      <c r="F231" s="16" t="s">
        <v>13</v>
      </c>
      <c r="G231" s="14" t="s">
        <v>40</v>
      </c>
      <c r="H231" s="14"/>
      <c r="I231" s="17">
        <v>10</v>
      </c>
      <c r="J231" s="17">
        <v>5</v>
      </c>
      <c r="K231" s="17">
        <v>10</v>
      </c>
      <c r="L231" s="17">
        <v>5</v>
      </c>
      <c r="M231" s="17">
        <v>5</v>
      </c>
      <c r="N231" s="18">
        <v>10</v>
      </c>
      <c r="O231" s="17">
        <v>16</v>
      </c>
      <c r="P231" s="17">
        <v>16</v>
      </c>
      <c r="Q231" s="17">
        <v>16</v>
      </c>
      <c r="R231" s="17">
        <v>16</v>
      </c>
      <c r="S231" s="17">
        <v>9</v>
      </c>
      <c r="T231" s="17">
        <v>21</v>
      </c>
      <c r="U231" s="18">
        <v>2</v>
      </c>
      <c r="V231" s="20">
        <v>141</v>
      </c>
    </row>
    <row r="232" spans="1:22" ht="43.8" thickBot="1">
      <c r="A232" s="23"/>
      <c r="B232" s="23" t="s">
        <v>469</v>
      </c>
      <c r="C232" s="22">
        <v>108256</v>
      </c>
      <c r="D232" s="22">
        <v>24096968</v>
      </c>
      <c r="E232" s="23" t="s">
        <v>470</v>
      </c>
      <c r="F232" s="24" t="s">
        <v>13</v>
      </c>
      <c r="G232" s="23" t="s">
        <v>14</v>
      </c>
      <c r="H232" s="21"/>
      <c r="I232" s="25">
        <v>10</v>
      </c>
      <c r="J232" s="25">
        <v>7</v>
      </c>
      <c r="K232" s="25">
        <v>0</v>
      </c>
      <c r="L232" s="25">
        <v>0</v>
      </c>
      <c r="M232" s="25">
        <v>10</v>
      </c>
      <c r="N232" s="26">
        <v>10</v>
      </c>
      <c r="O232" s="25">
        <v>16</v>
      </c>
      <c r="P232" s="25">
        <v>16</v>
      </c>
      <c r="Q232" s="25">
        <v>14</v>
      </c>
      <c r="R232" s="25">
        <v>13</v>
      </c>
      <c r="S232" s="25">
        <v>16</v>
      </c>
      <c r="T232" s="25">
        <v>25</v>
      </c>
      <c r="U232" s="26">
        <v>4</v>
      </c>
      <c r="V232" s="20">
        <v>141</v>
      </c>
    </row>
    <row r="233" spans="1:22" ht="43.8" thickBot="1">
      <c r="A233" s="14"/>
      <c r="B233" s="14" t="s">
        <v>25</v>
      </c>
      <c r="C233" s="15">
        <v>107139</v>
      </c>
      <c r="D233" s="15">
        <v>24079968</v>
      </c>
      <c r="E233" s="14" t="s">
        <v>26</v>
      </c>
      <c r="F233" s="16" t="s">
        <v>13</v>
      </c>
      <c r="G233" s="14" t="s">
        <v>27</v>
      </c>
      <c r="H233" s="14"/>
      <c r="I233" s="17">
        <v>5</v>
      </c>
      <c r="J233" s="17">
        <v>5</v>
      </c>
      <c r="K233" s="17">
        <v>10</v>
      </c>
      <c r="L233" s="17">
        <v>5</v>
      </c>
      <c r="M233" s="17">
        <v>10</v>
      </c>
      <c r="N233" s="18">
        <v>7</v>
      </c>
      <c r="O233" s="17">
        <v>16</v>
      </c>
      <c r="P233" s="17">
        <v>15</v>
      </c>
      <c r="Q233" s="17">
        <v>16</v>
      </c>
      <c r="R233" s="17">
        <v>12.5</v>
      </c>
      <c r="S233" s="17">
        <v>10</v>
      </c>
      <c r="T233" s="17">
        <v>25</v>
      </c>
      <c r="U233" s="18">
        <v>5</v>
      </c>
      <c r="V233" s="20">
        <v>141.5</v>
      </c>
    </row>
    <row r="234" spans="1:22" ht="43.8" thickBot="1">
      <c r="A234" s="23"/>
      <c r="B234" s="23" t="s">
        <v>493</v>
      </c>
      <c r="C234" s="22">
        <v>109902</v>
      </c>
      <c r="D234" s="22">
        <v>24122026</v>
      </c>
      <c r="E234" s="23" t="s">
        <v>494</v>
      </c>
      <c r="F234" s="24" t="s">
        <v>13</v>
      </c>
      <c r="G234" s="23" t="s">
        <v>27</v>
      </c>
      <c r="H234" s="21"/>
      <c r="I234" s="25">
        <v>10</v>
      </c>
      <c r="J234" s="25">
        <v>5</v>
      </c>
      <c r="K234" s="25">
        <v>10</v>
      </c>
      <c r="L234" s="25">
        <v>5</v>
      </c>
      <c r="M234" s="25">
        <v>10</v>
      </c>
      <c r="N234" s="26">
        <v>4</v>
      </c>
      <c r="O234" s="25">
        <v>10</v>
      </c>
      <c r="P234" s="25">
        <v>15</v>
      </c>
      <c r="Q234" s="25">
        <v>16</v>
      </c>
      <c r="R234" s="25">
        <v>12.5</v>
      </c>
      <c r="S234" s="25">
        <v>10</v>
      </c>
      <c r="T234" s="25">
        <v>25</v>
      </c>
      <c r="U234" s="26">
        <v>9</v>
      </c>
      <c r="V234" s="20">
        <v>141.5</v>
      </c>
    </row>
    <row r="235" spans="1:22" ht="43.8" thickBot="1">
      <c r="A235" s="14"/>
      <c r="B235" s="14" t="s">
        <v>691</v>
      </c>
      <c r="C235" s="15">
        <v>109976</v>
      </c>
      <c r="D235" s="15">
        <v>24122876</v>
      </c>
      <c r="E235" s="14" t="s">
        <v>692</v>
      </c>
      <c r="F235" s="16" t="s">
        <v>13</v>
      </c>
      <c r="G235" s="14" t="s">
        <v>40</v>
      </c>
      <c r="H235" s="14"/>
      <c r="I235" s="17">
        <v>10</v>
      </c>
      <c r="J235" s="17">
        <v>7</v>
      </c>
      <c r="K235" s="17">
        <v>0</v>
      </c>
      <c r="L235" s="17">
        <v>5</v>
      </c>
      <c r="M235" s="17">
        <v>5</v>
      </c>
      <c r="N235" s="18">
        <v>9</v>
      </c>
      <c r="O235" s="17">
        <v>16</v>
      </c>
      <c r="P235" s="17">
        <v>20</v>
      </c>
      <c r="Q235" s="17">
        <v>16</v>
      </c>
      <c r="R235" s="17">
        <v>15.5</v>
      </c>
      <c r="S235" s="17">
        <v>12</v>
      </c>
      <c r="T235" s="17">
        <v>25</v>
      </c>
      <c r="U235" s="18">
        <v>1</v>
      </c>
      <c r="V235" s="20">
        <v>141.5</v>
      </c>
    </row>
    <row r="236" spans="1:22" ht="43.8" thickBot="1">
      <c r="A236" s="23"/>
      <c r="B236" s="23" t="s">
        <v>621</v>
      </c>
      <c r="C236" s="22">
        <v>109793</v>
      </c>
      <c r="D236" s="22">
        <v>24119884</v>
      </c>
      <c r="E236" s="23" t="s">
        <v>622</v>
      </c>
      <c r="F236" s="24" t="s">
        <v>13</v>
      </c>
      <c r="G236" s="23" t="s">
        <v>14</v>
      </c>
      <c r="H236" s="21"/>
      <c r="I236" s="25">
        <v>10</v>
      </c>
      <c r="J236" s="25">
        <v>5</v>
      </c>
      <c r="K236" s="25">
        <v>0</v>
      </c>
      <c r="L236" s="25">
        <v>5</v>
      </c>
      <c r="M236" s="25">
        <v>5</v>
      </c>
      <c r="N236" s="26">
        <v>9</v>
      </c>
      <c r="O236" s="25">
        <v>15</v>
      </c>
      <c r="P236" s="25">
        <v>16</v>
      </c>
      <c r="Q236" s="25">
        <v>15</v>
      </c>
      <c r="R236" s="25">
        <v>15.5</v>
      </c>
      <c r="S236" s="25">
        <v>16</v>
      </c>
      <c r="T236" s="25">
        <v>25</v>
      </c>
      <c r="U236" s="26">
        <v>5</v>
      </c>
      <c r="V236" s="20">
        <v>141.5</v>
      </c>
    </row>
    <row r="237" spans="1:22" ht="43.8" thickBot="1">
      <c r="A237" s="14"/>
      <c r="B237" s="14" t="s">
        <v>623</v>
      </c>
      <c r="C237" s="15">
        <v>108212</v>
      </c>
      <c r="D237" s="15">
        <v>24094571</v>
      </c>
      <c r="E237" s="14" t="s">
        <v>624</v>
      </c>
      <c r="F237" s="16" t="s">
        <v>13</v>
      </c>
      <c r="G237" s="14" t="s">
        <v>20</v>
      </c>
      <c r="H237" s="14"/>
      <c r="I237" s="17">
        <v>10</v>
      </c>
      <c r="J237" s="17">
        <v>7</v>
      </c>
      <c r="K237" s="17">
        <v>10</v>
      </c>
      <c r="L237" s="17">
        <v>0</v>
      </c>
      <c r="M237" s="17">
        <v>0</v>
      </c>
      <c r="N237" s="18">
        <v>10</v>
      </c>
      <c r="O237" s="17">
        <v>16</v>
      </c>
      <c r="P237" s="17">
        <v>16</v>
      </c>
      <c r="Q237" s="17">
        <v>16</v>
      </c>
      <c r="R237" s="17">
        <v>15.5</v>
      </c>
      <c r="S237" s="17">
        <v>10</v>
      </c>
      <c r="T237" s="17">
        <v>25</v>
      </c>
      <c r="U237" s="18">
        <v>6</v>
      </c>
      <c r="V237" s="20">
        <v>141.5</v>
      </c>
    </row>
    <row r="238" spans="1:22" ht="43.8" thickBot="1">
      <c r="A238" s="23"/>
      <c r="B238" s="23" t="s">
        <v>511</v>
      </c>
      <c r="C238" s="22">
        <v>112164</v>
      </c>
      <c r="D238" s="22">
        <v>24158457</v>
      </c>
      <c r="E238" s="23" t="s">
        <v>512</v>
      </c>
      <c r="F238" s="24" t="s">
        <v>13</v>
      </c>
      <c r="G238" s="23" t="s">
        <v>17</v>
      </c>
      <c r="H238" s="21"/>
      <c r="I238" s="25">
        <v>10</v>
      </c>
      <c r="J238" s="25">
        <v>10</v>
      </c>
      <c r="K238" s="25">
        <v>10</v>
      </c>
      <c r="L238" s="25">
        <v>5</v>
      </c>
      <c r="M238" s="25">
        <v>0</v>
      </c>
      <c r="N238" s="26">
        <v>10</v>
      </c>
      <c r="O238" s="25">
        <v>16</v>
      </c>
      <c r="P238" s="25">
        <v>16</v>
      </c>
      <c r="Q238" s="25">
        <v>16</v>
      </c>
      <c r="R238" s="25">
        <v>11</v>
      </c>
      <c r="S238" s="25">
        <v>10</v>
      </c>
      <c r="T238" s="25">
        <v>21</v>
      </c>
      <c r="U238" s="26">
        <v>7</v>
      </c>
      <c r="V238" s="20">
        <v>142</v>
      </c>
    </row>
    <row r="239" spans="1:22" ht="43.8" thickBot="1">
      <c r="A239" s="14"/>
      <c r="B239" s="14" t="s">
        <v>251</v>
      </c>
      <c r="C239" s="15">
        <v>108672</v>
      </c>
      <c r="D239" s="15">
        <v>24102833</v>
      </c>
      <c r="E239" s="14" t="s">
        <v>252</v>
      </c>
      <c r="F239" s="16" t="s">
        <v>13</v>
      </c>
      <c r="G239" s="14" t="s">
        <v>20</v>
      </c>
      <c r="H239" s="14"/>
      <c r="I239" s="17">
        <v>10</v>
      </c>
      <c r="J239" s="17">
        <v>5</v>
      </c>
      <c r="K239" s="17">
        <v>10</v>
      </c>
      <c r="L239" s="17">
        <v>10</v>
      </c>
      <c r="M239" s="17">
        <v>5</v>
      </c>
      <c r="N239" s="18">
        <v>10</v>
      </c>
      <c r="O239" s="17">
        <v>7</v>
      </c>
      <c r="P239" s="17">
        <v>16</v>
      </c>
      <c r="Q239" s="17">
        <v>16</v>
      </c>
      <c r="R239" s="17">
        <v>16</v>
      </c>
      <c r="S239" s="17">
        <v>11</v>
      </c>
      <c r="T239" s="17">
        <v>25</v>
      </c>
      <c r="U239" s="18">
        <v>1</v>
      </c>
      <c r="V239" s="20">
        <v>142</v>
      </c>
    </row>
    <row r="240" spans="1:22" ht="43.8" thickBot="1">
      <c r="A240" s="23"/>
      <c r="B240" s="23" t="s">
        <v>723</v>
      </c>
      <c r="C240" s="22">
        <v>107961</v>
      </c>
      <c r="D240" s="22">
        <v>24092735</v>
      </c>
      <c r="E240" s="23" t="s">
        <v>724</v>
      </c>
      <c r="F240" s="24" t="s">
        <v>13</v>
      </c>
      <c r="G240" s="23" t="s">
        <v>20</v>
      </c>
      <c r="H240" s="21"/>
      <c r="I240" s="25">
        <v>10</v>
      </c>
      <c r="J240" s="25">
        <v>9</v>
      </c>
      <c r="K240" s="25">
        <v>10</v>
      </c>
      <c r="L240" s="25">
        <v>5</v>
      </c>
      <c r="M240" s="25">
        <v>0</v>
      </c>
      <c r="N240" s="26">
        <v>10</v>
      </c>
      <c r="O240" s="25">
        <v>16</v>
      </c>
      <c r="P240" s="25">
        <v>16</v>
      </c>
      <c r="Q240" s="25">
        <v>16</v>
      </c>
      <c r="R240" s="25">
        <v>13</v>
      </c>
      <c r="S240" s="25">
        <v>16</v>
      </c>
      <c r="T240" s="25">
        <v>16</v>
      </c>
      <c r="U240" s="26">
        <v>5</v>
      </c>
      <c r="V240" s="20">
        <v>142</v>
      </c>
    </row>
    <row r="241" spans="1:22" ht="43.8" thickBot="1">
      <c r="A241" s="14"/>
      <c r="B241" s="14" t="s">
        <v>605</v>
      </c>
      <c r="C241" s="15">
        <v>16906</v>
      </c>
      <c r="D241" s="15">
        <v>13144524</v>
      </c>
      <c r="E241" s="14" t="s">
        <v>606</v>
      </c>
      <c r="F241" s="16" t="s">
        <v>13</v>
      </c>
      <c r="G241" s="14" t="s">
        <v>27</v>
      </c>
      <c r="H241" s="14"/>
      <c r="I241" s="17">
        <v>5</v>
      </c>
      <c r="J241" s="17">
        <v>7</v>
      </c>
      <c r="K241" s="17">
        <v>10</v>
      </c>
      <c r="L241" s="17">
        <v>0</v>
      </c>
      <c r="M241" s="17">
        <v>0</v>
      </c>
      <c r="N241" s="18">
        <v>10</v>
      </c>
      <c r="O241" s="17">
        <v>12</v>
      </c>
      <c r="P241" s="17">
        <v>15</v>
      </c>
      <c r="Q241" s="17">
        <v>16</v>
      </c>
      <c r="R241" s="17">
        <v>12.5</v>
      </c>
      <c r="S241" s="17">
        <v>16</v>
      </c>
      <c r="T241" s="17">
        <v>24</v>
      </c>
      <c r="U241" s="18">
        <v>15</v>
      </c>
      <c r="V241" s="20">
        <v>142.5</v>
      </c>
    </row>
    <row r="242" spans="1:22" ht="43.8" thickBot="1">
      <c r="A242" s="23"/>
      <c r="B242" s="23" t="s">
        <v>663</v>
      </c>
      <c r="C242" s="22">
        <v>109795</v>
      </c>
      <c r="D242" s="22">
        <v>24119748</v>
      </c>
      <c r="E242" s="23" t="s">
        <v>664</v>
      </c>
      <c r="F242" s="24" t="s">
        <v>13</v>
      </c>
      <c r="G242" s="23" t="s">
        <v>40</v>
      </c>
      <c r="H242" s="21"/>
      <c r="I242" s="25">
        <v>10</v>
      </c>
      <c r="J242" s="25">
        <v>7</v>
      </c>
      <c r="K242" s="25">
        <v>5</v>
      </c>
      <c r="L242" s="25">
        <v>0</v>
      </c>
      <c r="M242" s="25">
        <v>5</v>
      </c>
      <c r="N242" s="26">
        <v>7</v>
      </c>
      <c r="O242" s="25">
        <v>16</v>
      </c>
      <c r="P242" s="25">
        <v>16</v>
      </c>
      <c r="Q242" s="25">
        <v>16</v>
      </c>
      <c r="R242" s="25">
        <v>10.5</v>
      </c>
      <c r="S242" s="25">
        <v>10</v>
      </c>
      <c r="T242" s="25">
        <v>25</v>
      </c>
      <c r="U242" s="26">
        <v>15</v>
      </c>
      <c r="V242" s="20">
        <v>142.5</v>
      </c>
    </row>
    <row r="243" spans="1:22" ht="43.8" thickBot="1">
      <c r="A243" s="14"/>
      <c r="B243" s="14" t="s">
        <v>329</v>
      </c>
      <c r="C243" s="15">
        <v>112521</v>
      </c>
      <c r="D243" s="15">
        <v>24162945</v>
      </c>
      <c r="E243" s="14" t="s">
        <v>330</v>
      </c>
      <c r="F243" s="16" t="s">
        <v>13</v>
      </c>
      <c r="G243" s="14" t="s">
        <v>40</v>
      </c>
      <c r="H243" s="14"/>
      <c r="I243" s="17">
        <v>10</v>
      </c>
      <c r="J243" s="17">
        <v>5</v>
      </c>
      <c r="K243" s="17">
        <v>5</v>
      </c>
      <c r="L243" s="17">
        <v>5</v>
      </c>
      <c r="M243" s="17">
        <v>10</v>
      </c>
      <c r="N243" s="18">
        <v>9</v>
      </c>
      <c r="O243" s="17">
        <v>12</v>
      </c>
      <c r="P243" s="17">
        <v>16</v>
      </c>
      <c r="Q243" s="17">
        <v>16</v>
      </c>
      <c r="R243" s="17">
        <v>15</v>
      </c>
      <c r="S243" s="17">
        <v>10</v>
      </c>
      <c r="T243" s="17">
        <v>25</v>
      </c>
      <c r="U243" s="18">
        <v>5</v>
      </c>
      <c r="V243" s="20">
        <v>143</v>
      </c>
    </row>
    <row r="244" spans="1:22" ht="43.8" thickBot="1">
      <c r="A244" s="23"/>
      <c r="B244" s="23" t="s">
        <v>163</v>
      </c>
      <c r="C244" s="22">
        <v>103728</v>
      </c>
      <c r="D244" s="22">
        <v>24036890</v>
      </c>
      <c r="E244" s="23" t="s">
        <v>164</v>
      </c>
      <c r="F244" s="24" t="s">
        <v>13</v>
      </c>
      <c r="G244" s="23" t="s">
        <v>40</v>
      </c>
      <c r="H244" s="21"/>
      <c r="I244" s="25">
        <v>10</v>
      </c>
      <c r="J244" s="25">
        <v>10</v>
      </c>
      <c r="K244" s="25">
        <v>10</v>
      </c>
      <c r="L244" s="25">
        <v>10</v>
      </c>
      <c r="M244" s="25">
        <v>5</v>
      </c>
      <c r="N244" s="26">
        <v>10</v>
      </c>
      <c r="O244" s="25">
        <v>7</v>
      </c>
      <c r="P244" s="27">
        <v>15</v>
      </c>
      <c r="Q244" s="25">
        <v>16</v>
      </c>
      <c r="R244" s="25">
        <v>10.5</v>
      </c>
      <c r="S244" s="25">
        <v>10</v>
      </c>
      <c r="T244" s="25">
        <v>25</v>
      </c>
      <c r="U244" s="26">
        <v>5</v>
      </c>
      <c r="V244" s="20">
        <v>143.5</v>
      </c>
    </row>
    <row r="245" spans="1:22" ht="43.8" thickBot="1">
      <c r="A245" s="14"/>
      <c r="B245" s="14" t="s">
        <v>153</v>
      </c>
      <c r="C245" s="15">
        <v>103840</v>
      </c>
      <c r="D245" s="15">
        <v>24037434</v>
      </c>
      <c r="E245" s="14" t="s">
        <v>154</v>
      </c>
      <c r="F245" s="16" t="s">
        <v>13</v>
      </c>
      <c r="G245" s="14" t="s">
        <v>20</v>
      </c>
      <c r="H245" s="14"/>
      <c r="I245" s="17">
        <v>5</v>
      </c>
      <c r="J245" s="17">
        <v>5</v>
      </c>
      <c r="K245" s="17">
        <v>10</v>
      </c>
      <c r="L245" s="17">
        <v>5</v>
      </c>
      <c r="M245" s="17">
        <v>10</v>
      </c>
      <c r="N245" s="18">
        <v>10</v>
      </c>
      <c r="O245" s="17">
        <v>4</v>
      </c>
      <c r="P245" s="28">
        <v>16</v>
      </c>
      <c r="Q245" s="17">
        <v>16</v>
      </c>
      <c r="R245" s="17">
        <v>10.5</v>
      </c>
      <c r="S245" s="17">
        <v>12</v>
      </c>
      <c r="T245" s="17">
        <v>25</v>
      </c>
      <c r="U245" s="18">
        <v>15</v>
      </c>
      <c r="V245" s="20">
        <v>143.5</v>
      </c>
    </row>
    <row r="246" spans="1:22" ht="43.8" thickBot="1">
      <c r="A246" s="23"/>
      <c r="B246" s="23" t="s">
        <v>193</v>
      </c>
      <c r="C246" s="22">
        <v>108241</v>
      </c>
      <c r="D246" s="22">
        <v>24096543</v>
      </c>
      <c r="E246" s="23" t="s">
        <v>194</v>
      </c>
      <c r="F246" s="24" t="s">
        <v>13</v>
      </c>
      <c r="G246" s="23" t="s">
        <v>27</v>
      </c>
      <c r="H246" s="21"/>
      <c r="I246" s="25">
        <v>0</v>
      </c>
      <c r="J246" s="25">
        <v>5</v>
      </c>
      <c r="K246" s="25">
        <v>10</v>
      </c>
      <c r="L246" s="25">
        <v>5</v>
      </c>
      <c r="M246" s="25">
        <v>10</v>
      </c>
      <c r="N246" s="26">
        <v>10</v>
      </c>
      <c r="O246" s="25">
        <v>12</v>
      </c>
      <c r="P246" s="25">
        <v>16</v>
      </c>
      <c r="Q246" s="25">
        <v>13</v>
      </c>
      <c r="R246" s="25">
        <v>16</v>
      </c>
      <c r="S246" s="25">
        <v>7</v>
      </c>
      <c r="T246" s="25">
        <v>25</v>
      </c>
      <c r="U246" s="26">
        <v>15</v>
      </c>
      <c r="V246" s="20">
        <v>144</v>
      </c>
    </row>
    <row r="247" spans="1:22" ht="43.8" thickBot="1">
      <c r="A247" s="14"/>
      <c r="B247" s="14" t="s">
        <v>503</v>
      </c>
      <c r="C247" s="15">
        <v>110576</v>
      </c>
      <c r="D247" s="15">
        <v>24134470</v>
      </c>
      <c r="E247" s="14" t="s">
        <v>504</v>
      </c>
      <c r="F247" s="16" t="s">
        <v>13</v>
      </c>
      <c r="G247" s="14" t="s">
        <v>20</v>
      </c>
      <c r="H247" s="14"/>
      <c r="I247" s="17">
        <v>10</v>
      </c>
      <c r="J247" s="17">
        <v>7</v>
      </c>
      <c r="K247" s="17">
        <v>10</v>
      </c>
      <c r="L247" s="17">
        <v>0</v>
      </c>
      <c r="M247" s="17">
        <v>10</v>
      </c>
      <c r="N247" s="18">
        <v>2</v>
      </c>
      <c r="O247" s="17">
        <v>3</v>
      </c>
      <c r="P247" s="17">
        <v>16</v>
      </c>
      <c r="Q247" s="17">
        <v>16</v>
      </c>
      <c r="R247" s="17">
        <v>16</v>
      </c>
      <c r="S247" s="17">
        <v>16</v>
      </c>
      <c r="T247" s="17">
        <v>23</v>
      </c>
      <c r="U247" s="18">
        <v>15</v>
      </c>
      <c r="V247" s="20">
        <v>144</v>
      </c>
    </row>
    <row r="248" spans="1:22" ht="43.8" thickBot="1">
      <c r="A248" s="23"/>
      <c r="B248" s="23" t="s">
        <v>673</v>
      </c>
      <c r="C248" s="22">
        <v>112216</v>
      </c>
      <c r="D248" s="22">
        <v>24158491</v>
      </c>
      <c r="E248" s="23" t="s">
        <v>674</v>
      </c>
      <c r="F248" s="24" t="s">
        <v>13</v>
      </c>
      <c r="G248" s="23" t="s">
        <v>40</v>
      </c>
      <c r="H248" s="21"/>
      <c r="I248" s="25">
        <v>10</v>
      </c>
      <c r="J248" s="25">
        <v>7</v>
      </c>
      <c r="K248" s="25">
        <v>10</v>
      </c>
      <c r="L248" s="25">
        <v>10</v>
      </c>
      <c r="M248" s="25">
        <v>0</v>
      </c>
      <c r="N248" s="26">
        <v>10</v>
      </c>
      <c r="O248" s="25">
        <v>4</v>
      </c>
      <c r="P248" s="25">
        <v>16</v>
      </c>
      <c r="Q248" s="25">
        <v>15</v>
      </c>
      <c r="R248" s="25">
        <v>6.5</v>
      </c>
      <c r="S248" s="25">
        <v>16</v>
      </c>
      <c r="T248" s="25">
        <v>25</v>
      </c>
      <c r="U248" s="26">
        <v>15</v>
      </c>
      <c r="V248" s="20">
        <v>144.5</v>
      </c>
    </row>
    <row r="249" spans="1:22" ht="54" thickBot="1">
      <c r="A249" s="14"/>
      <c r="B249" s="14" t="s">
        <v>203</v>
      </c>
      <c r="C249" s="15">
        <v>109433</v>
      </c>
      <c r="D249" s="15">
        <v>24115821</v>
      </c>
      <c r="E249" s="14" t="s">
        <v>204</v>
      </c>
      <c r="F249" s="16" t="s">
        <v>13</v>
      </c>
      <c r="G249" s="14" t="s">
        <v>20</v>
      </c>
      <c r="H249" s="14"/>
      <c r="I249" s="17">
        <v>10</v>
      </c>
      <c r="J249" s="17">
        <v>5</v>
      </c>
      <c r="K249" s="17">
        <v>10</v>
      </c>
      <c r="L249" s="17">
        <v>0</v>
      </c>
      <c r="M249" s="17">
        <v>5</v>
      </c>
      <c r="N249" s="18">
        <v>10</v>
      </c>
      <c r="O249" s="17">
        <v>16</v>
      </c>
      <c r="P249" s="17">
        <v>16</v>
      </c>
      <c r="Q249" s="17">
        <v>16</v>
      </c>
      <c r="R249" s="17">
        <v>15.5</v>
      </c>
      <c r="S249" s="17">
        <v>14</v>
      </c>
      <c r="T249" s="17">
        <v>25</v>
      </c>
      <c r="U249" s="18">
        <v>2</v>
      </c>
      <c r="V249" s="20">
        <v>144.5</v>
      </c>
    </row>
    <row r="250" spans="1:22" ht="43.8" thickBot="1">
      <c r="A250" s="23"/>
      <c r="B250" s="23" t="s">
        <v>513</v>
      </c>
      <c r="C250" s="22">
        <v>110344</v>
      </c>
      <c r="D250" s="22">
        <v>24130696</v>
      </c>
      <c r="E250" s="23" t="s">
        <v>514</v>
      </c>
      <c r="F250" s="24" t="s">
        <v>13</v>
      </c>
      <c r="G250" s="23" t="s">
        <v>20</v>
      </c>
      <c r="H250" s="21"/>
      <c r="I250" s="25">
        <v>10</v>
      </c>
      <c r="J250" s="25">
        <v>7</v>
      </c>
      <c r="K250" s="25">
        <v>0</v>
      </c>
      <c r="L250" s="25">
        <v>5</v>
      </c>
      <c r="M250" s="25">
        <v>10</v>
      </c>
      <c r="N250" s="26">
        <v>4</v>
      </c>
      <c r="O250" s="25">
        <v>14</v>
      </c>
      <c r="P250" s="25">
        <v>16</v>
      </c>
      <c r="Q250" s="25">
        <v>16</v>
      </c>
      <c r="R250" s="25">
        <v>6.5</v>
      </c>
      <c r="S250" s="25">
        <v>16</v>
      </c>
      <c r="T250" s="25">
        <v>25</v>
      </c>
      <c r="U250" s="26">
        <v>15</v>
      </c>
      <c r="V250" s="20">
        <v>144.5</v>
      </c>
    </row>
    <row r="251" spans="1:22" ht="43.8" thickBot="1">
      <c r="A251" s="14"/>
      <c r="B251" s="14" t="s">
        <v>661</v>
      </c>
      <c r="C251" s="15">
        <v>107806</v>
      </c>
      <c r="D251" s="15">
        <v>13958994</v>
      </c>
      <c r="E251" s="14" t="s">
        <v>662</v>
      </c>
      <c r="F251" s="16" t="s">
        <v>13</v>
      </c>
      <c r="G251" s="14" t="s">
        <v>17</v>
      </c>
      <c r="H251" s="14"/>
      <c r="I251" s="17">
        <v>0</v>
      </c>
      <c r="J251" s="17">
        <v>0</v>
      </c>
      <c r="K251" s="17">
        <v>10</v>
      </c>
      <c r="L251" s="17">
        <v>5</v>
      </c>
      <c r="M251" s="17">
        <v>0</v>
      </c>
      <c r="N251" s="18">
        <v>10</v>
      </c>
      <c r="O251" s="17">
        <v>16</v>
      </c>
      <c r="P251" s="17">
        <v>16</v>
      </c>
      <c r="Q251" s="17">
        <v>16</v>
      </c>
      <c r="R251" s="17">
        <v>16</v>
      </c>
      <c r="S251" s="17">
        <v>16</v>
      </c>
      <c r="T251" s="17">
        <v>25</v>
      </c>
      <c r="U251" s="18">
        <v>15</v>
      </c>
      <c r="V251" s="20">
        <v>145</v>
      </c>
    </row>
    <row r="252" spans="1:22" ht="43.8" thickBot="1">
      <c r="A252" s="23"/>
      <c r="B252" s="23" t="s">
        <v>229</v>
      </c>
      <c r="C252" s="22">
        <v>106578</v>
      </c>
      <c r="D252" s="22">
        <v>24068323</v>
      </c>
      <c r="E252" s="23" t="s">
        <v>230</v>
      </c>
      <c r="F252" s="24" t="s">
        <v>13</v>
      </c>
      <c r="G252" s="23" t="s">
        <v>40</v>
      </c>
      <c r="H252" s="21"/>
      <c r="I252" s="25">
        <v>10</v>
      </c>
      <c r="J252" s="25">
        <v>10</v>
      </c>
      <c r="K252" s="25">
        <v>10</v>
      </c>
      <c r="L252" s="25">
        <v>10</v>
      </c>
      <c r="M252" s="25">
        <v>5</v>
      </c>
      <c r="N252" s="26">
        <v>10</v>
      </c>
      <c r="O252" s="25">
        <v>3</v>
      </c>
      <c r="P252" s="25">
        <v>16</v>
      </c>
      <c r="Q252" s="25">
        <v>16</v>
      </c>
      <c r="R252" s="25">
        <v>13</v>
      </c>
      <c r="S252" s="25">
        <v>16</v>
      </c>
      <c r="T252" s="25">
        <v>25</v>
      </c>
      <c r="U252" s="26">
        <v>1</v>
      </c>
      <c r="V252" s="20">
        <v>145</v>
      </c>
    </row>
    <row r="253" spans="1:22" ht="43.8" thickBot="1">
      <c r="A253" s="14"/>
      <c r="B253" s="14" t="s">
        <v>79</v>
      </c>
      <c r="C253" s="15">
        <v>109912</v>
      </c>
      <c r="D253" s="15">
        <v>24123046</v>
      </c>
      <c r="E253" s="14" t="s">
        <v>80</v>
      </c>
      <c r="F253" s="16" t="s">
        <v>13</v>
      </c>
      <c r="G253" s="14" t="s">
        <v>20</v>
      </c>
      <c r="H253" s="14"/>
      <c r="I253" s="17">
        <v>5</v>
      </c>
      <c r="J253" s="17">
        <v>7</v>
      </c>
      <c r="K253" s="17">
        <v>10</v>
      </c>
      <c r="L253" s="17">
        <v>5</v>
      </c>
      <c r="M253" s="17">
        <v>5</v>
      </c>
      <c r="N253" s="18">
        <v>10</v>
      </c>
      <c r="O253" s="17">
        <v>16</v>
      </c>
      <c r="P253" s="17">
        <v>16</v>
      </c>
      <c r="Q253" s="17">
        <v>16</v>
      </c>
      <c r="R253" s="17">
        <v>13</v>
      </c>
      <c r="S253" s="17">
        <v>16</v>
      </c>
      <c r="T253" s="17">
        <v>25</v>
      </c>
      <c r="U253" s="18">
        <v>1</v>
      </c>
      <c r="V253" s="20">
        <v>145</v>
      </c>
    </row>
    <row r="254" spans="1:22" ht="43.8" thickBot="1">
      <c r="A254" s="23"/>
      <c r="B254" s="23" t="s">
        <v>89</v>
      </c>
      <c r="C254" s="22">
        <v>109888</v>
      </c>
      <c r="D254" s="22">
        <v>24122791</v>
      </c>
      <c r="E254" s="23" t="s">
        <v>90</v>
      </c>
      <c r="F254" s="24" t="s">
        <v>13</v>
      </c>
      <c r="G254" s="23" t="s">
        <v>27</v>
      </c>
      <c r="H254" s="21"/>
      <c r="I254" s="25">
        <v>10</v>
      </c>
      <c r="J254" s="25">
        <v>5</v>
      </c>
      <c r="K254" s="25">
        <v>10</v>
      </c>
      <c r="L254" s="25">
        <v>5</v>
      </c>
      <c r="M254" s="25">
        <v>5</v>
      </c>
      <c r="N254" s="26">
        <v>10</v>
      </c>
      <c r="O254" s="25">
        <v>16</v>
      </c>
      <c r="P254" s="25">
        <v>16</v>
      </c>
      <c r="Q254" s="25">
        <v>16</v>
      </c>
      <c r="R254" s="25">
        <v>12.5</v>
      </c>
      <c r="S254" s="25">
        <v>10</v>
      </c>
      <c r="T254" s="25">
        <v>25</v>
      </c>
      <c r="U254" s="26">
        <v>5</v>
      </c>
      <c r="V254" s="20">
        <v>145.5</v>
      </c>
    </row>
    <row r="255" spans="1:22" ht="43.8" thickBot="1">
      <c r="A255" s="14"/>
      <c r="B255" s="14" t="s">
        <v>289</v>
      </c>
      <c r="C255" s="15">
        <v>112183</v>
      </c>
      <c r="D255" s="15">
        <v>24158304</v>
      </c>
      <c r="E255" s="14" t="s">
        <v>290</v>
      </c>
      <c r="F255" s="16" t="s">
        <v>13</v>
      </c>
      <c r="G255" s="14" t="s">
        <v>40</v>
      </c>
      <c r="H255" s="14"/>
      <c r="I255" s="17">
        <v>10</v>
      </c>
      <c r="J255" s="17">
        <v>10</v>
      </c>
      <c r="K255" s="17">
        <v>10</v>
      </c>
      <c r="L255" s="17">
        <v>5</v>
      </c>
      <c r="M255" s="17">
        <v>5</v>
      </c>
      <c r="N255" s="18">
        <v>10</v>
      </c>
      <c r="O255" s="17">
        <v>16</v>
      </c>
      <c r="P255" s="17">
        <v>16</v>
      </c>
      <c r="Q255" s="17">
        <v>16</v>
      </c>
      <c r="R255" s="17">
        <v>15.5</v>
      </c>
      <c r="S255" s="17">
        <v>6</v>
      </c>
      <c r="T255" s="17">
        <v>21</v>
      </c>
      <c r="U255" s="18">
        <v>5</v>
      </c>
      <c r="V255" s="20">
        <v>145.5</v>
      </c>
    </row>
    <row r="256" spans="1:22" ht="43.8" thickBot="1">
      <c r="A256" s="23"/>
      <c r="B256" s="23" t="s">
        <v>327</v>
      </c>
      <c r="C256" s="22">
        <v>103485</v>
      </c>
      <c r="D256" s="22">
        <v>24037468</v>
      </c>
      <c r="E256" s="23" t="s">
        <v>328</v>
      </c>
      <c r="F256" s="24" t="s">
        <v>13</v>
      </c>
      <c r="G256" s="23" t="s">
        <v>20</v>
      </c>
      <c r="H256" s="21"/>
      <c r="I256" s="25">
        <v>7</v>
      </c>
      <c r="J256" s="25">
        <v>5</v>
      </c>
      <c r="K256" s="25">
        <v>0</v>
      </c>
      <c r="L256" s="25">
        <v>5</v>
      </c>
      <c r="M256" s="25">
        <v>10</v>
      </c>
      <c r="N256" s="26">
        <v>10</v>
      </c>
      <c r="O256" s="25">
        <v>16</v>
      </c>
      <c r="P256" s="25">
        <v>16</v>
      </c>
      <c r="Q256" s="25">
        <v>16</v>
      </c>
      <c r="R256" s="25">
        <v>15.5</v>
      </c>
      <c r="S256" s="25">
        <v>13</v>
      </c>
      <c r="T256" s="25">
        <v>25</v>
      </c>
      <c r="U256" s="26">
        <v>7</v>
      </c>
      <c r="V256" s="20">
        <v>145.5</v>
      </c>
    </row>
    <row r="257" spans="1:22" ht="43.8" thickBot="1">
      <c r="A257" s="14"/>
      <c r="B257" s="14" t="s">
        <v>121</v>
      </c>
      <c r="C257" s="15">
        <v>104377</v>
      </c>
      <c r="D257" s="15">
        <v>24036533</v>
      </c>
      <c r="E257" s="14" t="s">
        <v>122</v>
      </c>
      <c r="F257" s="16" t="s">
        <v>13</v>
      </c>
      <c r="G257" s="14" t="s">
        <v>17</v>
      </c>
      <c r="H257" s="14"/>
      <c r="I257" s="17">
        <v>5</v>
      </c>
      <c r="J257" s="17">
        <v>5</v>
      </c>
      <c r="K257" s="17">
        <v>10</v>
      </c>
      <c r="L257" s="17">
        <v>5</v>
      </c>
      <c r="M257" s="17">
        <v>0</v>
      </c>
      <c r="N257" s="18">
        <v>10</v>
      </c>
      <c r="O257" s="17">
        <v>16</v>
      </c>
      <c r="P257" s="17">
        <v>15</v>
      </c>
      <c r="Q257" s="17">
        <v>16</v>
      </c>
      <c r="R257" s="17">
        <v>14</v>
      </c>
      <c r="S257" s="17">
        <v>13</v>
      </c>
      <c r="T257" s="17">
        <v>25</v>
      </c>
      <c r="U257" s="18">
        <v>12</v>
      </c>
      <c r="V257" s="20">
        <v>146</v>
      </c>
    </row>
    <row r="258" spans="1:22" ht="43.8" thickBot="1">
      <c r="A258" s="23"/>
      <c r="B258" s="23" t="s">
        <v>261</v>
      </c>
      <c r="C258" s="22">
        <v>102985</v>
      </c>
      <c r="D258" s="22">
        <v>24035853</v>
      </c>
      <c r="E258" s="23" t="s">
        <v>262</v>
      </c>
      <c r="F258" s="24" t="s">
        <v>13</v>
      </c>
      <c r="G258" s="23" t="s">
        <v>14</v>
      </c>
      <c r="H258" s="21"/>
      <c r="I258" s="25">
        <v>5</v>
      </c>
      <c r="J258" s="25">
        <v>5</v>
      </c>
      <c r="K258" s="25">
        <v>10</v>
      </c>
      <c r="L258" s="25">
        <v>10</v>
      </c>
      <c r="M258" s="25">
        <v>5</v>
      </c>
      <c r="N258" s="26">
        <v>10</v>
      </c>
      <c r="O258" s="25">
        <v>16</v>
      </c>
      <c r="P258" s="25">
        <v>15</v>
      </c>
      <c r="Q258" s="25">
        <v>16</v>
      </c>
      <c r="R258" s="25">
        <v>16</v>
      </c>
      <c r="S258" s="25">
        <v>8</v>
      </c>
      <c r="T258" s="25">
        <v>25</v>
      </c>
      <c r="U258" s="26">
        <v>5</v>
      </c>
      <c r="V258" s="20">
        <v>146</v>
      </c>
    </row>
    <row r="259" spans="1:22" ht="43.8" thickBot="1">
      <c r="A259" s="14"/>
      <c r="B259" s="14" t="s">
        <v>429</v>
      </c>
      <c r="C259" s="15">
        <v>87281</v>
      </c>
      <c r="D259" s="15">
        <v>17539835</v>
      </c>
      <c r="E259" s="14" t="s">
        <v>430</v>
      </c>
      <c r="F259" s="16" t="s">
        <v>13</v>
      </c>
      <c r="G259" s="14" t="s">
        <v>14</v>
      </c>
      <c r="H259" s="14"/>
      <c r="I259" s="17">
        <v>5</v>
      </c>
      <c r="J259" s="17">
        <v>2</v>
      </c>
      <c r="K259" s="17">
        <v>10</v>
      </c>
      <c r="L259" s="17">
        <v>5</v>
      </c>
      <c r="M259" s="17">
        <v>0</v>
      </c>
      <c r="N259" s="18">
        <v>10</v>
      </c>
      <c r="O259" s="17">
        <v>16</v>
      </c>
      <c r="P259" s="17">
        <v>20</v>
      </c>
      <c r="Q259" s="17">
        <v>15</v>
      </c>
      <c r="R259" s="17">
        <v>13</v>
      </c>
      <c r="S259" s="17">
        <v>10</v>
      </c>
      <c r="T259" s="17">
        <v>25</v>
      </c>
      <c r="U259" s="18">
        <v>15</v>
      </c>
      <c r="V259" s="20">
        <v>146</v>
      </c>
    </row>
    <row r="260" spans="1:22" ht="58.2" thickBot="1">
      <c r="A260" s="23"/>
      <c r="B260" s="23" t="s">
        <v>731</v>
      </c>
      <c r="C260" s="22">
        <v>107295</v>
      </c>
      <c r="D260" s="22">
        <v>24081277</v>
      </c>
      <c r="E260" s="23" t="s">
        <v>732</v>
      </c>
      <c r="F260" s="24" t="s">
        <v>13</v>
      </c>
      <c r="G260" s="23" t="s">
        <v>17</v>
      </c>
      <c r="H260" s="21"/>
      <c r="I260" s="25">
        <v>5</v>
      </c>
      <c r="J260" s="25">
        <v>5</v>
      </c>
      <c r="K260" s="25">
        <v>10</v>
      </c>
      <c r="L260" s="25">
        <v>10</v>
      </c>
      <c r="M260" s="25">
        <v>10</v>
      </c>
      <c r="N260" s="26">
        <v>2</v>
      </c>
      <c r="O260" s="25">
        <v>14</v>
      </c>
      <c r="P260" s="25">
        <v>16</v>
      </c>
      <c r="Q260" s="25">
        <v>16</v>
      </c>
      <c r="R260" s="25">
        <v>15.5</v>
      </c>
      <c r="S260" s="25">
        <v>16</v>
      </c>
      <c r="T260" s="25">
        <v>25</v>
      </c>
      <c r="U260" s="26">
        <v>2</v>
      </c>
      <c r="V260" s="20">
        <v>146.5</v>
      </c>
    </row>
    <row r="261" spans="1:22" ht="43.8" thickBot="1">
      <c r="A261" s="14"/>
      <c r="B261" s="14" t="s">
        <v>589</v>
      </c>
      <c r="C261" s="15">
        <v>112374</v>
      </c>
      <c r="D261" s="15">
        <v>24161177</v>
      </c>
      <c r="E261" s="14" t="s">
        <v>590</v>
      </c>
      <c r="F261" s="16" t="s">
        <v>13</v>
      </c>
      <c r="G261" s="14" t="s">
        <v>27</v>
      </c>
      <c r="H261" s="14"/>
      <c r="I261" s="17">
        <v>10</v>
      </c>
      <c r="J261" s="17">
        <v>5</v>
      </c>
      <c r="K261" s="17">
        <v>5</v>
      </c>
      <c r="L261" s="17">
        <v>5</v>
      </c>
      <c r="M261" s="17">
        <v>10</v>
      </c>
      <c r="N261" s="18">
        <v>10</v>
      </c>
      <c r="O261" s="17">
        <v>15</v>
      </c>
      <c r="P261" s="17">
        <v>16</v>
      </c>
      <c r="Q261" s="17">
        <v>14</v>
      </c>
      <c r="R261" s="17">
        <v>12.5</v>
      </c>
      <c r="S261" s="17">
        <v>16</v>
      </c>
      <c r="T261" s="17">
        <v>25</v>
      </c>
      <c r="U261" s="18">
        <v>3</v>
      </c>
      <c r="V261" s="20">
        <v>146.5</v>
      </c>
    </row>
    <row r="262" spans="1:22" ht="43.8" thickBot="1">
      <c r="A262" s="23"/>
      <c r="B262" s="23" t="s">
        <v>377</v>
      </c>
      <c r="C262" s="22">
        <v>111720</v>
      </c>
      <c r="D262" s="22">
        <v>24151181</v>
      </c>
      <c r="E262" s="23" t="s">
        <v>378</v>
      </c>
      <c r="F262" s="24" t="s">
        <v>13</v>
      </c>
      <c r="G262" s="23" t="s">
        <v>14</v>
      </c>
      <c r="H262" s="21"/>
      <c r="I262" s="25">
        <v>10</v>
      </c>
      <c r="J262" s="25">
        <v>10</v>
      </c>
      <c r="K262" s="25">
        <v>5</v>
      </c>
      <c r="L262" s="25">
        <v>0</v>
      </c>
      <c r="M262" s="25">
        <v>10</v>
      </c>
      <c r="N262" s="26">
        <v>10</v>
      </c>
      <c r="O262" s="25">
        <v>8</v>
      </c>
      <c r="P262" s="25">
        <v>16</v>
      </c>
      <c r="Q262" s="25">
        <v>16</v>
      </c>
      <c r="R262" s="25">
        <v>16</v>
      </c>
      <c r="S262" s="25">
        <v>16</v>
      </c>
      <c r="T262" s="25">
        <v>25</v>
      </c>
      <c r="U262" s="26">
        <v>5</v>
      </c>
      <c r="V262" s="20">
        <v>147</v>
      </c>
    </row>
    <row r="263" spans="1:22" ht="54" thickBot="1">
      <c r="A263" s="14"/>
      <c r="B263" s="14" t="s">
        <v>539</v>
      </c>
      <c r="C263" s="15">
        <v>107210</v>
      </c>
      <c r="D263" s="15">
        <v>24080104</v>
      </c>
      <c r="E263" s="14" t="s">
        <v>540</v>
      </c>
      <c r="F263" s="16" t="s">
        <v>13</v>
      </c>
      <c r="G263" s="14" t="s">
        <v>20</v>
      </c>
      <c r="H263" s="14"/>
      <c r="I263" s="17">
        <v>5</v>
      </c>
      <c r="J263" s="17">
        <v>5</v>
      </c>
      <c r="K263" s="17">
        <v>10</v>
      </c>
      <c r="L263" s="17">
        <v>5</v>
      </c>
      <c r="M263" s="17">
        <v>10</v>
      </c>
      <c r="N263" s="18">
        <v>10</v>
      </c>
      <c r="O263" s="17">
        <v>14</v>
      </c>
      <c r="P263" s="17">
        <v>16</v>
      </c>
      <c r="Q263" s="17">
        <v>16</v>
      </c>
      <c r="R263" s="17">
        <v>13</v>
      </c>
      <c r="S263" s="17">
        <v>13</v>
      </c>
      <c r="T263" s="17">
        <v>25</v>
      </c>
      <c r="U263" s="18">
        <v>5</v>
      </c>
      <c r="V263" s="20">
        <v>147</v>
      </c>
    </row>
    <row r="264" spans="1:22" ht="43.8" thickBot="1">
      <c r="A264" s="23"/>
      <c r="B264" s="23" t="s">
        <v>321</v>
      </c>
      <c r="C264" s="22">
        <v>103846</v>
      </c>
      <c r="D264" s="22">
        <v>24037179</v>
      </c>
      <c r="E264" s="23" t="s">
        <v>322</v>
      </c>
      <c r="F264" s="24" t="s">
        <v>13</v>
      </c>
      <c r="G264" s="23" t="s">
        <v>17</v>
      </c>
      <c r="H264" s="21"/>
      <c r="I264" s="25">
        <v>10</v>
      </c>
      <c r="J264" s="25">
        <v>10</v>
      </c>
      <c r="K264" s="25">
        <v>10</v>
      </c>
      <c r="L264" s="25">
        <v>5</v>
      </c>
      <c r="M264" s="25">
        <v>10</v>
      </c>
      <c r="N264" s="26">
        <v>4</v>
      </c>
      <c r="O264" s="25">
        <v>7</v>
      </c>
      <c r="P264" s="25">
        <v>16</v>
      </c>
      <c r="Q264" s="25">
        <v>16</v>
      </c>
      <c r="R264" s="25">
        <v>6.5</v>
      </c>
      <c r="S264" s="25">
        <v>13</v>
      </c>
      <c r="T264" s="25">
        <v>25</v>
      </c>
      <c r="U264" s="26">
        <v>15</v>
      </c>
      <c r="V264" s="20">
        <v>147.5</v>
      </c>
    </row>
    <row r="265" spans="1:22" ht="43.8" thickBot="1">
      <c r="A265" s="14"/>
      <c r="B265" s="14" t="s">
        <v>137</v>
      </c>
      <c r="C265" s="15">
        <v>109765</v>
      </c>
      <c r="D265" s="15">
        <v>24119561</v>
      </c>
      <c r="E265" s="14" t="s">
        <v>138</v>
      </c>
      <c r="F265" s="16" t="s">
        <v>13</v>
      </c>
      <c r="G265" s="14" t="s">
        <v>27</v>
      </c>
      <c r="H265" s="14"/>
      <c r="I265" s="17">
        <v>5</v>
      </c>
      <c r="J265" s="17">
        <v>10</v>
      </c>
      <c r="K265" s="17">
        <v>0</v>
      </c>
      <c r="L265" s="17">
        <v>5</v>
      </c>
      <c r="M265" s="17">
        <v>5</v>
      </c>
      <c r="N265" s="18">
        <v>10</v>
      </c>
      <c r="O265" s="17">
        <v>9</v>
      </c>
      <c r="P265" s="17">
        <v>16</v>
      </c>
      <c r="Q265" s="17">
        <v>16</v>
      </c>
      <c r="R265" s="17">
        <v>15.5</v>
      </c>
      <c r="S265" s="17">
        <v>16</v>
      </c>
      <c r="T265" s="17">
        <v>25</v>
      </c>
      <c r="U265" s="18">
        <v>15</v>
      </c>
      <c r="V265" s="20">
        <v>147.5</v>
      </c>
    </row>
    <row r="266" spans="1:22" ht="43.8" thickBot="1">
      <c r="A266" s="23"/>
      <c r="B266" s="23" t="s">
        <v>699</v>
      </c>
      <c r="C266" s="22">
        <v>103242</v>
      </c>
      <c r="D266" s="22">
        <v>24036482</v>
      </c>
      <c r="E266" s="23" t="s">
        <v>700</v>
      </c>
      <c r="F266" s="24" t="s">
        <v>13</v>
      </c>
      <c r="G266" s="23" t="s">
        <v>27</v>
      </c>
      <c r="H266" s="21"/>
      <c r="I266" s="25">
        <v>7</v>
      </c>
      <c r="J266" s="25">
        <v>5</v>
      </c>
      <c r="K266" s="25">
        <v>10</v>
      </c>
      <c r="L266" s="25">
        <v>5</v>
      </c>
      <c r="M266" s="25">
        <v>10</v>
      </c>
      <c r="N266" s="26">
        <v>10</v>
      </c>
      <c r="O266" s="25">
        <v>16</v>
      </c>
      <c r="P266" s="25">
        <v>16</v>
      </c>
      <c r="Q266" s="25">
        <v>16</v>
      </c>
      <c r="R266" s="25">
        <v>15.5</v>
      </c>
      <c r="S266" s="25">
        <v>9</v>
      </c>
      <c r="T266" s="25">
        <v>25</v>
      </c>
      <c r="U266" s="26">
        <v>3</v>
      </c>
      <c r="V266" s="20">
        <v>147.5</v>
      </c>
    </row>
    <row r="267" spans="1:22" ht="43.8" thickBot="1">
      <c r="A267" s="14"/>
      <c r="B267" s="14" t="s">
        <v>543</v>
      </c>
      <c r="C267" s="15">
        <v>103113</v>
      </c>
      <c r="D267" s="15">
        <v>24035666</v>
      </c>
      <c r="E267" s="14" t="s">
        <v>544</v>
      </c>
      <c r="F267" s="16" t="s">
        <v>13</v>
      </c>
      <c r="G267" s="14" t="s">
        <v>20</v>
      </c>
      <c r="H267" s="14"/>
      <c r="I267" s="17">
        <v>10</v>
      </c>
      <c r="J267" s="17">
        <v>5</v>
      </c>
      <c r="K267" s="17">
        <v>10</v>
      </c>
      <c r="L267" s="17">
        <v>5</v>
      </c>
      <c r="M267" s="17">
        <v>10</v>
      </c>
      <c r="N267" s="18">
        <v>2</v>
      </c>
      <c r="O267" s="17">
        <v>16</v>
      </c>
      <c r="P267" s="17">
        <v>16</v>
      </c>
      <c r="Q267" s="17">
        <v>16</v>
      </c>
      <c r="R267" s="17">
        <v>10.5</v>
      </c>
      <c r="S267" s="17">
        <v>16</v>
      </c>
      <c r="T267" s="17">
        <v>25</v>
      </c>
      <c r="U267" s="18">
        <v>6</v>
      </c>
      <c r="V267" s="20">
        <v>147.5</v>
      </c>
    </row>
    <row r="268" spans="1:22" ht="43.8" thickBot="1">
      <c r="A268" s="23"/>
      <c r="B268" s="23" t="s">
        <v>601</v>
      </c>
      <c r="C268" s="22">
        <v>107612</v>
      </c>
      <c r="D268" s="22">
        <v>24086309</v>
      </c>
      <c r="E268" s="23" t="s">
        <v>602</v>
      </c>
      <c r="F268" s="24" t="s">
        <v>13</v>
      </c>
      <c r="G268" s="23" t="s">
        <v>20</v>
      </c>
      <c r="H268" s="21"/>
      <c r="I268" s="25">
        <v>5</v>
      </c>
      <c r="J268" s="25">
        <v>7</v>
      </c>
      <c r="K268" s="25">
        <v>10</v>
      </c>
      <c r="L268" s="25">
        <v>10</v>
      </c>
      <c r="M268" s="25">
        <v>10</v>
      </c>
      <c r="N268" s="26">
        <v>5</v>
      </c>
      <c r="O268" s="25">
        <v>7</v>
      </c>
      <c r="P268" s="25">
        <v>16</v>
      </c>
      <c r="Q268" s="25">
        <v>16</v>
      </c>
      <c r="R268" s="25">
        <v>15.5</v>
      </c>
      <c r="S268" s="25">
        <v>16</v>
      </c>
      <c r="T268" s="25">
        <v>24</v>
      </c>
      <c r="U268" s="26">
        <v>6</v>
      </c>
      <c r="V268" s="20">
        <v>147.5</v>
      </c>
    </row>
    <row r="269" spans="1:22" ht="43.8" thickBot="1">
      <c r="A269" s="14"/>
      <c r="B269" s="14" t="s">
        <v>553</v>
      </c>
      <c r="C269" s="15">
        <v>109602</v>
      </c>
      <c r="D269" s="15">
        <v>24119697</v>
      </c>
      <c r="E269" s="14" t="s">
        <v>554</v>
      </c>
      <c r="F269" s="16" t="s">
        <v>13</v>
      </c>
      <c r="G269" s="14" t="s">
        <v>40</v>
      </c>
      <c r="H269" s="14"/>
      <c r="I269" s="17">
        <v>5</v>
      </c>
      <c r="J269" s="17">
        <v>5</v>
      </c>
      <c r="K269" s="17">
        <v>10</v>
      </c>
      <c r="L269" s="17">
        <v>5</v>
      </c>
      <c r="M269" s="17">
        <v>5</v>
      </c>
      <c r="N269" s="18">
        <v>10</v>
      </c>
      <c r="O269" s="17">
        <v>14</v>
      </c>
      <c r="P269" s="17">
        <v>16</v>
      </c>
      <c r="Q269" s="17">
        <v>14</v>
      </c>
      <c r="R269" s="17">
        <v>16</v>
      </c>
      <c r="S269" s="17">
        <v>8</v>
      </c>
      <c r="T269" s="17">
        <v>25</v>
      </c>
      <c r="U269" s="18">
        <v>15</v>
      </c>
      <c r="V269" s="20">
        <v>148</v>
      </c>
    </row>
    <row r="270" spans="1:22" ht="43.8" thickBot="1">
      <c r="A270" s="23"/>
      <c r="B270" s="23" t="s">
        <v>109</v>
      </c>
      <c r="C270" s="22">
        <v>103141</v>
      </c>
      <c r="D270" s="22">
        <v>24036737</v>
      </c>
      <c r="E270" s="23" t="s">
        <v>110</v>
      </c>
      <c r="F270" s="24" t="s">
        <v>13</v>
      </c>
      <c r="G270" s="23" t="s">
        <v>27</v>
      </c>
      <c r="H270" s="21"/>
      <c r="I270" s="25">
        <v>10</v>
      </c>
      <c r="J270" s="25">
        <v>7</v>
      </c>
      <c r="K270" s="25">
        <v>5</v>
      </c>
      <c r="L270" s="25">
        <v>10</v>
      </c>
      <c r="M270" s="25">
        <v>5</v>
      </c>
      <c r="N270" s="26">
        <v>10</v>
      </c>
      <c r="O270" s="25">
        <v>12</v>
      </c>
      <c r="P270" s="25">
        <v>16</v>
      </c>
      <c r="Q270" s="25">
        <v>16</v>
      </c>
      <c r="R270" s="25">
        <v>15.5</v>
      </c>
      <c r="S270" s="25">
        <v>12</v>
      </c>
      <c r="T270" s="25">
        <v>25</v>
      </c>
      <c r="U270" s="26">
        <v>5</v>
      </c>
      <c r="V270" s="20">
        <v>148.5</v>
      </c>
    </row>
    <row r="271" spans="1:22" ht="43.8" thickBot="1">
      <c r="A271" s="14"/>
      <c r="B271" s="14" t="s">
        <v>425</v>
      </c>
      <c r="C271" s="15">
        <v>103679</v>
      </c>
      <c r="D271" s="15">
        <v>24036091</v>
      </c>
      <c r="E271" s="14" t="s">
        <v>426</v>
      </c>
      <c r="F271" s="16" t="s">
        <v>13</v>
      </c>
      <c r="G271" s="14" t="s">
        <v>27</v>
      </c>
      <c r="H271" s="14"/>
      <c r="I271" s="17">
        <v>10</v>
      </c>
      <c r="J271" s="17">
        <v>7</v>
      </c>
      <c r="K271" s="17">
        <v>5</v>
      </c>
      <c r="L271" s="17">
        <v>5</v>
      </c>
      <c r="M271" s="17">
        <v>5</v>
      </c>
      <c r="N271" s="18">
        <v>10</v>
      </c>
      <c r="O271" s="17">
        <v>6</v>
      </c>
      <c r="P271" s="17">
        <v>16</v>
      </c>
      <c r="Q271" s="17">
        <v>16</v>
      </c>
      <c r="R271" s="17">
        <v>15.5</v>
      </c>
      <c r="S271" s="17">
        <v>16</v>
      </c>
      <c r="T271" s="17">
        <v>25</v>
      </c>
      <c r="U271" s="18">
        <v>12</v>
      </c>
      <c r="V271" s="20">
        <v>148.5</v>
      </c>
    </row>
    <row r="272" spans="1:22" ht="43.8" thickBot="1">
      <c r="A272" s="23"/>
      <c r="B272" s="23" t="s">
        <v>703</v>
      </c>
      <c r="C272" s="22">
        <v>111513</v>
      </c>
      <c r="D272" s="22">
        <v>24149209</v>
      </c>
      <c r="E272" s="23" t="s">
        <v>704</v>
      </c>
      <c r="F272" s="24" t="s">
        <v>13</v>
      </c>
      <c r="G272" s="23" t="s">
        <v>14</v>
      </c>
      <c r="H272" s="21"/>
      <c r="I272" s="25">
        <v>10</v>
      </c>
      <c r="J272" s="25">
        <v>7</v>
      </c>
      <c r="K272" s="25">
        <v>5</v>
      </c>
      <c r="L272" s="25">
        <v>5</v>
      </c>
      <c r="M272" s="25">
        <v>5</v>
      </c>
      <c r="N272" s="26">
        <v>10</v>
      </c>
      <c r="O272" s="25">
        <v>16</v>
      </c>
      <c r="P272" s="25">
        <v>16</v>
      </c>
      <c r="Q272" s="25">
        <v>14</v>
      </c>
      <c r="R272" s="25">
        <v>14.5</v>
      </c>
      <c r="S272" s="25">
        <v>16</v>
      </c>
      <c r="T272" s="25">
        <v>25</v>
      </c>
      <c r="U272" s="26">
        <v>5</v>
      </c>
      <c r="V272" s="20">
        <v>148.5</v>
      </c>
    </row>
    <row r="273" spans="1:22" ht="43.8" thickBot="1">
      <c r="A273" s="14"/>
      <c r="B273" s="14" t="s">
        <v>243</v>
      </c>
      <c r="C273" s="15">
        <v>104900</v>
      </c>
      <c r="D273" s="15">
        <v>24042534</v>
      </c>
      <c r="E273" s="14" t="s">
        <v>244</v>
      </c>
      <c r="F273" s="16" t="s">
        <v>13</v>
      </c>
      <c r="G273" s="14" t="s">
        <v>20</v>
      </c>
      <c r="H273" s="14"/>
      <c r="I273" s="17">
        <v>10</v>
      </c>
      <c r="J273" s="17">
        <v>10</v>
      </c>
      <c r="K273" s="17">
        <v>5</v>
      </c>
      <c r="L273" s="17">
        <v>0</v>
      </c>
      <c r="M273" s="17">
        <v>10</v>
      </c>
      <c r="N273" s="18">
        <v>10</v>
      </c>
      <c r="O273" s="17">
        <v>16</v>
      </c>
      <c r="P273" s="17">
        <v>16</v>
      </c>
      <c r="Q273" s="17">
        <v>15</v>
      </c>
      <c r="R273" s="17">
        <v>13</v>
      </c>
      <c r="S273" s="17">
        <v>14</v>
      </c>
      <c r="T273" s="17">
        <v>25</v>
      </c>
      <c r="U273" s="18">
        <v>5</v>
      </c>
      <c r="V273" s="20">
        <v>149</v>
      </c>
    </row>
    <row r="274" spans="1:22" ht="43.8" thickBot="1">
      <c r="A274" s="23"/>
      <c r="B274" s="23" t="s">
        <v>685</v>
      </c>
      <c r="C274" s="22">
        <v>31505</v>
      </c>
      <c r="D274" s="22">
        <v>17137564</v>
      </c>
      <c r="E274" s="23" t="s">
        <v>686</v>
      </c>
      <c r="F274" s="24" t="s">
        <v>13</v>
      </c>
      <c r="G274" s="23" t="s">
        <v>20</v>
      </c>
      <c r="H274" s="21"/>
      <c r="I274" s="25">
        <v>5</v>
      </c>
      <c r="J274" s="25">
        <v>5</v>
      </c>
      <c r="K274" s="25">
        <v>10</v>
      </c>
      <c r="L274" s="25">
        <v>5</v>
      </c>
      <c r="M274" s="25">
        <v>10</v>
      </c>
      <c r="N274" s="26">
        <v>5</v>
      </c>
      <c r="O274" s="25">
        <v>16</v>
      </c>
      <c r="P274" s="25">
        <v>16</v>
      </c>
      <c r="Q274" s="25">
        <v>14</v>
      </c>
      <c r="R274" s="25">
        <v>13</v>
      </c>
      <c r="S274" s="25">
        <v>10</v>
      </c>
      <c r="T274" s="25">
        <v>25</v>
      </c>
      <c r="U274" s="26">
        <v>15</v>
      </c>
      <c r="V274" s="20">
        <v>149</v>
      </c>
    </row>
    <row r="275" spans="1:22" ht="43.8" thickBot="1">
      <c r="A275" s="14"/>
      <c r="B275" s="14" t="s">
        <v>483</v>
      </c>
      <c r="C275" s="15">
        <v>103104</v>
      </c>
      <c r="D275" s="15">
        <v>24036380</v>
      </c>
      <c r="E275" s="14" t="s">
        <v>484</v>
      </c>
      <c r="F275" s="16" t="s">
        <v>13</v>
      </c>
      <c r="G275" s="14" t="s">
        <v>20</v>
      </c>
      <c r="H275" s="14"/>
      <c r="I275" s="17">
        <v>5</v>
      </c>
      <c r="J275" s="17">
        <v>10</v>
      </c>
      <c r="K275" s="17">
        <v>10</v>
      </c>
      <c r="L275" s="17">
        <v>5</v>
      </c>
      <c r="M275" s="17">
        <v>10</v>
      </c>
      <c r="N275" s="18">
        <v>10</v>
      </c>
      <c r="O275" s="17">
        <v>16</v>
      </c>
      <c r="P275" s="17">
        <v>20</v>
      </c>
      <c r="Q275" s="17">
        <v>13</v>
      </c>
      <c r="R275" s="17">
        <v>12.5</v>
      </c>
      <c r="S275" s="17">
        <v>12</v>
      </c>
      <c r="T275" s="17">
        <v>25</v>
      </c>
      <c r="U275" s="18">
        <v>1</v>
      </c>
      <c r="V275" s="20">
        <v>149.5</v>
      </c>
    </row>
    <row r="276" spans="1:22" ht="43.8" thickBot="1">
      <c r="A276" s="23"/>
      <c r="B276" s="23" t="s">
        <v>103</v>
      </c>
      <c r="C276" s="22">
        <v>104456</v>
      </c>
      <c r="D276" s="22">
        <v>24036601</v>
      </c>
      <c r="E276" s="23" t="s">
        <v>104</v>
      </c>
      <c r="F276" s="24" t="s">
        <v>13</v>
      </c>
      <c r="G276" s="23" t="s">
        <v>17</v>
      </c>
      <c r="H276" s="21"/>
      <c r="I276" s="25">
        <v>10</v>
      </c>
      <c r="J276" s="25">
        <v>10</v>
      </c>
      <c r="K276" s="25">
        <v>10</v>
      </c>
      <c r="L276" s="25">
        <v>0</v>
      </c>
      <c r="M276" s="25">
        <v>10</v>
      </c>
      <c r="N276" s="26">
        <v>2</v>
      </c>
      <c r="O276" s="25">
        <v>16</v>
      </c>
      <c r="P276" s="25">
        <v>20</v>
      </c>
      <c r="Q276" s="25">
        <v>16</v>
      </c>
      <c r="R276" s="25">
        <v>13</v>
      </c>
      <c r="S276" s="25">
        <v>16</v>
      </c>
      <c r="T276" s="25">
        <v>25</v>
      </c>
      <c r="U276" s="26">
        <v>2</v>
      </c>
      <c r="V276" s="20">
        <v>150</v>
      </c>
    </row>
    <row r="277" spans="1:22" ht="43.8" thickBot="1">
      <c r="A277" s="14"/>
      <c r="B277" s="14" t="s">
        <v>277</v>
      </c>
      <c r="C277" s="15">
        <v>104467</v>
      </c>
      <c r="D277" s="15">
        <v>24011934</v>
      </c>
      <c r="E277" s="14" t="s">
        <v>278</v>
      </c>
      <c r="F277" s="16" t="s">
        <v>13</v>
      </c>
      <c r="G277" s="14" t="s">
        <v>27</v>
      </c>
      <c r="H277" s="14"/>
      <c r="I277" s="17">
        <v>10</v>
      </c>
      <c r="J277" s="17">
        <v>7</v>
      </c>
      <c r="K277" s="17">
        <v>10</v>
      </c>
      <c r="L277" s="17">
        <v>5</v>
      </c>
      <c r="M277" s="17">
        <v>10</v>
      </c>
      <c r="N277" s="18">
        <v>10</v>
      </c>
      <c r="O277" s="17">
        <v>16</v>
      </c>
      <c r="P277" s="17">
        <v>16</v>
      </c>
      <c r="Q277" s="17">
        <v>14</v>
      </c>
      <c r="R277" s="17">
        <v>13</v>
      </c>
      <c r="S277" s="17">
        <v>10</v>
      </c>
      <c r="T277" s="17">
        <v>24</v>
      </c>
      <c r="U277" s="18">
        <v>5</v>
      </c>
      <c r="V277" s="20">
        <v>150</v>
      </c>
    </row>
    <row r="278" spans="1:22" ht="43.8" thickBot="1">
      <c r="A278" s="23"/>
      <c r="B278" s="23" t="s">
        <v>117</v>
      </c>
      <c r="C278" s="22">
        <v>109675</v>
      </c>
      <c r="D278" s="22">
        <v>24119901</v>
      </c>
      <c r="E278" s="23" t="s">
        <v>118</v>
      </c>
      <c r="F278" s="24" t="s">
        <v>13</v>
      </c>
      <c r="G278" s="23" t="s">
        <v>14</v>
      </c>
      <c r="H278" s="21"/>
      <c r="I278" s="25">
        <v>10</v>
      </c>
      <c r="J278" s="25">
        <v>10</v>
      </c>
      <c r="K278" s="25">
        <v>0</v>
      </c>
      <c r="L278" s="25">
        <v>5</v>
      </c>
      <c r="M278" s="25">
        <v>10</v>
      </c>
      <c r="N278" s="26">
        <v>10</v>
      </c>
      <c r="O278" s="25">
        <v>16</v>
      </c>
      <c r="P278" s="25">
        <v>16</v>
      </c>
      <c r="Q278" s="25">
        <v>14</v>
      </c>
      <c r="R278" s="25">
        <v>13</v>
      </c>
      <c r="S278" s="25">
        <v>6</v>
      </c>
      <c r="T278" s="25">
        <v>25</v>
      </c>
      <c r="U278" s="26">
        <v>15</v>
      </c>
      <c r="V278" s="20">
        <v>150</v>
      </c>
    </row>
    <row r="279" spans="1:22" ht="43.8" thickBot="1">
      <c r="A279" s="14"/>
      <c r="B279" s="14" t="s">
        <v>427</v>
      </c>
      <c r="C279" s="15">
        <v>109391</v>
      </c>
      <c r="D279" s="15">
        <v>24115855</v>
      </c>
      <c r="E279" s="14" t="s">
        <v>428</v>
      </c>
      <c r="F279" s="16" t="s">
        <v>13</v>
      </c>
      <c r="G279" s="14" t="s">
        <v>14</v>
      </c>
      <c r="H279" s="14"/>
      <c r="I279" s="17">
        <v>5</v>
      </c>
      <c r="J279" s="17">
        <v>10</v>
      </c>
      <c r="K279" s="17">
        <v>10</v>
      </c>
      <c r="L279" s="17">
        <v>5</v>
      </c>
      <c r="M279" s="17">
        <v>10</v>
      </c>
      <c r="N279" s="18">
        <v>10</v>
      </c>
      <c r="O279" s="17">
        <v>6</v>
      </c>
      <c r="P279" s="17">
        <v>16</v>
      </c>
      <c r="Q279" s="17">
        <v>16</v>
      </c>
      <c r="R279" s="17">
        <v>16</v>
      </c>
      <c r="S279" s="17">
        <v>16</v>
      </c>
      <c r="T279" s="17">
        <v>25</v>
      </c>
      <c r="U279" s="18">
        <v>5</v>
      </c>
      <c r="V279" s="20">
        <v>150</v>
      </c>
    </row>
    <row r="280" spans="1:22" ht="43.8" thickBot="1">
      <c r="A280" s="23"/>
      <c r="B280" s="23" t="s">
        <v>387</v>
      </c>
      <c r="C280" s="22">
        <v>104077</v>
      </c>
      <c r="D280" s="22">
        <v>24036856</v>
      </c>
      <c r="E280" s="23" t="s">
        <v>388</v>
      </c>
      <c r="F280" s="24" t="s">
        <v>13</v>
      </c>
      <c r="G280" s="23" t="s">
        <v>20</v>
      </c>
      <c r="H280" s="21"/>
      <c r="I280" s="25">
        <v>5</v>
      </c>
      <c r="J280" s="25">
        <v>7</v>
      </c>
      <c r="K280" s="25">
        <v>5</v>
      </c>
      <c r="L280" s="25">
        <v>5</v>
      </c>
      <c r="M280" s="25">
        <v>5</v>
      </c>
      <c r="N280" s="26">
        <v>10</v>
      </c>
      <c r="O280" s="25">
        <v>16</v>
      </c>
      <c r="P280" s="25">
        <v>16</v>
      </c>
      <c r="Q280" s="25">
        <v>16</v>
      </c>
      <c r="R280" s="25">
        <v>16</v>
      </c>
      <c r="S280" s="25">
        <v>16</v>
      </c>
      <c r="T280" s="25">
        <v>25</v>
      </c>
      <c r="U280" s="26">
        <v>8</v>
      </c>
      <c r="V280" s="20">
        <v>150</v>
      </c>
    </row>
    <row r="281" spans="1:22" ht="43.8" thickBot="1">
      <c r="A281" s="14"/>
      <c r="B281" s="14" t="s">
        <v>487</v>
      </c>
      <c r="C281" s="15">
        <v>108056</v>
      </c>
      <c r="D281" s="15">
        <v>24092752</v>
      </c>
      <c r="E281" s="14" t="s">
        <v>488</v>
      </c>
      <c r="F281" s="16" t="s">
        <v>13</v>
      </c>
      <c r="G281" s="14" t="s">
        <v>20</v>
      </c>
      <c r="H281" s="14"/>
      <c r="I281" s="17">
        <v>10</v>
      </c>
      <c r="J281" s="17">
        <v>10</v>
      </c>
      <c r="K281" s="17">
        <v>0</v>
      </c>
      <c r="L281" s="17">
        <v>5</v>
      </c>
      <c r="M281" s="17">
        <v>10</v>
      </c>
      <c r="N281" s="18">
        <v>10</v>
      </c>
      <c r="O281" s="17">
        <v>16</v>
      </c>
      <c r="P281" s="17">
        <v>16</v>
      </c>
      <c r="Q281" s="17">
        <v>13</v>
      </c>
      <c r="R281" s="17">
        <v>14</v>
      </c>
      <c r="S281" s="17">
        <v>6</v>
      </c>
      <c r="T281" s="17">
        <v>25</v>
      </c>
      <c r="U281" s="18">
        <v>15</v>
      </c>
      <c r="V281" s="20">
        <v>150</v>
      </c>
    </row>
    <row r="282" spans="1:22" ht="43.8" thickBot="1">
      <c r="A282" s="23"/>
      <c r="B282" s="23" t="s">
        <v>111</v>
      </c>
      <c r="C282" s="22">
        <v>110277</v>
      </c>
      <c r="D282" s="22">
        <v>24129370</v>
      </c>
      <c r="E282" s="23" t="s">
        <v>112</v>
      </c>
      <c r="F282" s="24" t="s">
        <v>13</v>
      </c>
      <c r="G282" s="23" t="s">
        <v>17</v>
      </c>
      <c r="H282" s="21"/>
      <c r="I282" s="25">
        <v>10</v>
      </c>
      <c r="J282" s="25">
        <v>10</v>
      </c>
      <c r="K282" s="25">
        <v>0</v>
      </c>
      <c r="L282" s="25">
        <v>0</v>
      </c>
      <c r="M282" s="25">
        <v>5</v>
      </c>
      <c r="N282" s="26">
        <v>10</v>
      </c>
      <c r="O282" s="25">
        <v>16</v>
      </c>
      <c r="P282" s="25">
        <v>15</v>
      </c>
      <c r="Q282" s="25">
        <v>16</v>
      </c>
      <c r="R282" s="25">
        <v>12.5</v>
      </c>
      <c r="S282" s="25">
        <v>16</v>
      </c>
      <c r="T282" s="25">
        <v>25</v>
      </c>
      <c r="U282" s="26">
        <v>15</v>
      </c>
      <c r="V282" s="20">
        <v>150.5</v>
      </c>
    </row>
    <row r="283" spans="1:22" ht="43.8" thickBot="1">
      <c r="A283" s="14"/>
      <c r="B283" s="14" t="s">
        <v>249</v>
      </c>
      <c r="C283" s="15">
        <v>108840</v>
      </c>
      <c r="D283" s="15">
        <v>24105281</v>
      </c>
      <c r="E283" s="14" t="s">
        <v>250</v>
      </c>
      <c r="F283" s="16" t="s">
        <v>13</v>
      </c>
      <c r="G283" s="14" t="s">
        <v>40</v>
      </c>
      <c r="H283" s="14"/>
      <c r="I283" s="17">
        <v>10</v>
      </c>
      <c r="J283" s="17">
        <v>10</v>
      </c>
      <c r="K283" s="17">
        <v>10</v>
      </c>
      <c r="L283" s="17">
        <v>5</v>
      </c>
      <c r="M283" s="17">
        <v>5</v>
      </c>
      <c r="N283" s="18">
        <v>10</v>
      </c>
      <c r="O283" s="17">
        <v>16</v>
      </c>
      <c r="P283" s="17">
        <v>16</v>
      </c>
      <c r="Q283" s="17">
        <v>16</v>
      </c>
      <c r="R283" s="17">
        <v>6.5</v>
      </c>
      <c r="S283" s="17">
        <v>16</v>
      </c>
      <c r="T283" s="17">
        <v>25</v>
      </c>
      <c r="U283" s="18">
        <v>5</v>
      </c>
      <c r="V283" s="20">
        <v>150.5</v>
      </c>
    </row>
    <row r="284" spans="1:22" ht="43.8" thickBot="1">
      <c r="A284" s="23"/>
      <c r="B284" s="23" t="s">
        <v>257</v>
      </c>
      <c r="C284" s="22">
        <v>103051</v>
      </c>
      <c r="D284" s="22">
        <v>24011917</v>
      </c>
      <c r="E284" s="23" t="s">
        <v>258</v>
      </c>
      <c r="F284" s="24" t="s">
        <v>13</v>
      </c>
      <c r="G284" s="23" t="s">
        <v>14</v>
      </c>
      <c r="H284" s="21"/>
      <c r="I284" s="25">
        <v>10</v>
      </c>
      <c r="J284" s="25">
        <v>5</v>
      </c>
      <c r="K284" s="25">
        <v>10</v>
      </c>
      <c r="L284" s="25">
        <v>10</v>
      </c>
      <c r="M284" s="25">
        <v>5</v>
      </c>
      <c r="N284" s="26">
        <v>10</v>
      </c>
      <c r="O284" s="25">
        <v>14</v>
      </c>
      <c r="P284" s="25">
        <v>14</v>
      </c>
      <c r="Q284" s="25">
        <v>16</v>
      </c>
      <c r="R284" s="25">
        <v>10.5</v>
      </c>
      <c r="S284" s="25">
        <v>6</v>
      </c>
      <c r="T284" s="25">
        <v>25</v>
      </c>
      <c r="U284" s="26">
        <v>15</v>
      </c>
      <c r="V284" s="20">
        <v>150.5</v>
      </c>
    </row>
    <row r="285" spans="1:22" ht="43.8" thickBot="1">
      <c r="A285" s="14"/>
      <c r="B285" s="14" t="s">
        <v>497</v>
      </c>
      <c r="C285" s="15">
        <v>1445</v>
      </c>
      <c r="D285" s="15">
        <v>14801293</v>
      </c>
      <c r="E285" s="14" t="s">
        <v>498</v>
      </c>
      <c r="F285" s="16" t="s">
        <v>13</v>
      </c>
      <c r="G285" s="14" t="s">
        <v>14</v>
      </c>
      <c r="H285" s="14"/>
      <c r="I285" s="17">
        <v>10</v>
      </c>
      <c r="J285" s="17">
        <v>10</v>
      </c>
      <c r="K285" s="17">
        <v>10</v>
      </c>
      <c r="L285" s="17">
        <v>0</v>
      </c>
      <c r="M285" s="17">
        <v>5</v>
      </c>
      <c r="N285" s="18">
        <v>10</v>
      </c>
      <c r="O285" s="17">
        <v>16</v>
      </c>
      <c r="P285" s="17">
        <v>16</v>
      </c>
      <c r="Q285" s="17">
        <v>16</v>
      </c>
      <c r="R285" s="17">
        <v>15.5</v>
      </c>
      <c r="S285" s="17">
        <v>16</v>
      </c>
      <c r="T285" s="17">
        <v>25</v>
      </c>
      <c r="U285" s="18">
        <v>1</v>
      </c>
      <c r="V285" s="20">
        <v>150.5</v>
      </c>
    </row>
    <row r="286" spans="1:22" ht="43.8" thickBot="1">
      <c r="A286" s="23"/>
      <c r="B286" s="23" t="s">
        <v>501</v>
      </c>
      <c r="C286" s="22">
        <v>104208</v>
      </c>
      <c r="D286" s="22">
        <v>24036686</v>
      </c>
      <c r="E286" s="23" t="s">
        <v>502</v>
      </c>
      <c r="F286" s="24" t="s">
        <v>13</v>
      </c>
      <c r="G286" s="23" t="s">
        <v>14</v>
      </c>
      <c r="H286" s="21"/>
      <c r="I286" s="25">
        <v>5</v>
      </c>
      <c r="J286" s="25">
        <v>10</v>
      </c>
      <c r="K286" s="25">
        <v>10</v>
      </c>
      <c r="L286" s="25">
        <v>5</v>
      </c>
      <c r="M286" s="25">
        <v>5</v>
      </c>
      <c r="N286" s="26">
        <v>10</v>
      </c>
      <c r="O286" s="25">
        <v>16</v>
      </c>
      <c r="P286" s="25">
        <v>15</v>
      </c>
      <c r="Q286" s="25">
        <v>16</v>
      </c>
      <c r="R286" s="25">
        <v>12.5</v>
      </c>
      <c r="S286" s="25">
        <v>16</v>
      </c>
      <c r="T286" s="25">
        <v>25</v>
      </c>
      <c r="U286" s="26">
        <v>5</v>
      </c>
      <c r="V286" s="20">
        <v>150.5</v>
      </c>
    </row>
    <row r="287" spans="1:22" ht="43.8" thickBot="1">
      <c r="A287" s="14"/>
      <c r="B287" s="14" t="s">
        <v>385</v>
      </c>
      <c r="C287" s="15">
        <v>104237</v>
      </c>
      <c r="D287" s="15">
        <v>24011815</v>
      </c>
      <c r="E287" s="14" t="s">
        <v>386</v>
      </c>
      <c r="F287" s="16" t="s">
        <v>13</v>
      </c>
      <c r="G287" s="14" t="s">
        <v>17</v>
      </c>
      <c r="H287" s="14"/>
      <c r="I287" s="17">
        <v>5</v>
      </c>
      <c r="J287" s="17">
        <v>5</v>
      </c>
      <c r="K287" s="17">
        <v>10</v>
      </c>
      <c r="L287" s="17">
        <v>5</v>
      </c>
      <c r="M287" s="17">
        <v>5</v>
      </c>
      <c r="N287" s="18">
        <v>10</v>
      </c>
      <c r="O287" s="17">
        <v>13</v>
      </c>
      <c r="P287" s="17">
        <v>15</v>
      </c>
      <c r="Q287" s="17">
        <v>13</v>
      </c>
      <c r="R287" s="17">
        <v>14</v>
      </c>
      <c r="S287" s="17">
        <v>16</v>
      </c>
      <c r="T287" s="17">
        <v>25</v>
      </c>
      <c r="U287" s="18">
        <v>15</v>
      </c>
      <c r="V287" s="20">
        <v>151</v>
      </c>
    </row>
    <row r="288" spans="1:22" ht="43.8" thickBot="1">
      <c r="A288" s="23"/>
      <c r="B288" s="23" t="s">
        <v>419</v>
      </c>
      <c r="C288" s="22">
        <v>107203</v>
      </c>
      <c r="D288" s="22">
        <v>24078812</v>
      </c>
      <c r="E288" s="23" t="s">
        <v>420</v>
      </c>
      <c r="F288" s="24" t="s">
        <v>13</v>
      </c>
      <c r="G288" s="23" t="s">
        <v>40</v>
      </c>
      <c r="H288" s="21"/>
      <c r="I288" s="25">
        <v>5</v>
      </c>
      <c r="J288" s="25">
        <v>10</v>
      </c>
      <c r="K288" s="25">
        <v>10</v>
      </c>
      <c r="L288" s="25">
        <v>5</v>
      </c>
      <c r="M288" s="25">
        <v>5</v>
      </c>
      <c r="N288" s="26">
        <v>10</v>
      </c>
      <c r="O288" s="25">
        <v>16</v>
      </c>
      <c r="P288" s="25">
        <v>16</v>
      </c>
      <c r="Q288" s="25">
        <v>16</v>
      </c>
      <c r="R288" s="25">
        <v>16</v>
      </c>
      <c r="S288" s="25">
        <v>12</v>
      </c>
      <c r="T288" s="25">
        <v>25</v>
      </c>
      <c r="U288" s="26">
        <v>5</v>
      </c>
      <c r="V288" s="20">
        <v>151</v>
      </c>
    </row>
    <row r="289" spans="1:22" ht="43.8" thickBot="1">
      <c r="A289" s="14"/>
      <c r="B289" s="14" t="s">
        <v>165</v>
      </c>
      <c r="C289" s="15">
        <v>103988</v>
      </c>
      <c r="D289" s="15">
        <v>24035717</v>
      </c>
      <c r="E289" s="14" t="s">
        <v>166</v>
      </c>
      <c r="F289" s="16" t="s">
        <v>13</v>
      </c>
      <c r="G289" s="14" t="s">
        <v>17</v>
      </c>
      <c r="H289" s="14"/>
      <c r="I289" s="17">
        <v>5</v>
      </c>
      <c r="J289" s="17">
        <v>10</v>
      </c>
      <c r="K289" s="17">
        <v>5</v>
      </c>
      <c r="L289" s="17">
        <v>5</v>
      </c>
      <c r="M289" s="17">
        <v>0</v>
      </c>
      <c r="N289" s="18">
        <v>10</v>
      </c>
      <c r="O289" s="17">
        <v>15</v>
      </c>
      <c r="P289" s="17">
        <v>16</v>
      </c>
      <c r="Q289" s="17">
        <v>16</v>
      </c>
      <c r="R289" s="17">
        <v>13.5</v>
      </c>
      <c r="S289" s="17">
        <v>16</v>
      </c>
      <c r="T289" s="17">
        <v>25</v>
      </c>
      <c r="U289" s="18">
        <v>15</v>
      </c>
      <c r="V289" s="20">
        <v>151.5</v>
      </c>
    </row>
    <row r="290" spans="1:22" ht="43.8" thickBot="1">
      <c r="A290" s="23"/>
      <c r="B290" s="23" t="s">
        <v>129</v>
      </c>
      <c r="C290" s="22">
        <v>109971</v>
      </c>
      <c r="D290" s="22">
        <v>24122927</v>
      </c>
      <c r="E290" s="23" t="s">
        <v>130</v>
      </c>
      <c r="F290" s="24" t="s">
        <v>13</v>
      </c>
      <c r="G290" s="23" t="s">
        <v>27</v>
      </c>
      <c r="H290" s="21"/>
      <c r="I290" s="25">
        <v>10</v>
      </c>
      <c r="J290" s="25">
        <v>10</v>
      </c>
      <c r="K290" s="25">
        <v>10</v>
      </c>
      <c r="L290" s="25">
        <v>0</v>
      </c>
      <c r="M290" s="25">
        <v>10</v>
      </c>
      <c r="N290" s="26">
        <v>10</v>
      </c>
      <c r="O290" s="25">
        <v>7</v>
      </c>
      <c r="P290" s="25">
        <v>16</v>
      </c>
      <c r="Q290" s="25">
        <v>16</v>
      </c>
      <c r="R290" s="25">
        <v>12.5</v>
      </c>
      <c r="S290" s="25">
        <v>10</v>
      </c>
      <c r="T290" s="25">
        <v>25</v>
      </c>
      <c r="U290" s="26">
        <v>15</v>
      </c>
      <c r="V290" s="20">
        <v>151.5</v>
      </c>
    </row>
    <row r="291" spans="1:22" ht="43.8" thickBot="1">
      <c r="A291" s="14"/>
      <c r="B291" s="14" t="s">
        <v>221</v>
      </c>
      <c r="C291" s="15">
        <v>107201</v>
      </c>
      <c r="D291" s="15">
        <v>24079424</v>
      </c>
      <c r="E291" s="14" t="s">
        <v>222</v>
      </c>
      <c r="F291" s="16" t="s">
        <v>13</v>
      </c>
      <c r="G291" s="14" t="s">
        <v>27</v>
      </c>
      <c r="H291" s="14"/>
      <c r="I291" s="17">
        <v>7</v>
      </c>
      <c r="J291" s="17">
        <v>5</v>
      </c>
      <c r="K291" s="17">
        <v>10</v>
      </c>
      <c r="L291" s="17">
        <v>5</v>
      </c>
      <c r="M291" s="17">
        <v>5</v>
      </c>
      <c r="N291" s="18">
        <v>5</v>
      </c>
      <c r="O291" s="17">
        <v>16</v>
      </c>
      <c r="P291" s="17">
        <v>16</v>
      </c>
      <c r="Q291" s="17">
        <v>14</v>
      </c>
      <c r="R291" s="17">
        <v>12.5</v>
      </c>
      <c r="S291" s="17">
        <v>16</v>
      </c>
      <c r="T291" s="17">
        <v>25</v>
      </c>
      <c r="U291" s="18">
        <v>15</v>
      </c>
      <c r="V291" s="20">
        <v>151.5</v>
      </c>
    </row>
    <row r="292" spans="1:22" ht="43.8" thickBot="1">
      <c r="A292" s="23"/>
      <c r="B292" s="23" t="s">
        <v>633</v>
      </c>
      <c r="C292" s="22">
        <v>103227</v>
      </c>
      <c r="D292" s="22">
        <v>24035751</v>
      </c>
      <c r="E292" s="23" t="s">
        <v>634</v>
      </c>
      <c r="F292" s="24" t="s">
        <v>13</v>
      </c>
      <c r="G292" s="23" t="s">
        <v>20</v>
      </c>
      <c r="H292" s="21"/>
      <c r="I292" s="25">
        <v>5</v>
      </c>
      <c r="J292" s="25">
        <v>5</v>
      </c>
      <c r="K292" s="25">
        <v>10</v>
      </c>
      <c r="L292" s="25">
        <v>10</v>
      </c>
      <c r="M292" s="25">
        <v>0</v>
      </c>
      <c r="N292" s="26">
        <v>2</v>
      </c>
      <c r="O292" s="25">
        <v>16</v>
      </c>
      <c r="P292" s="25">
        <v>16</v>
      </c>
      <c r="Q292" s="25">
        <v>16</v>
      </c>
      <c r="R292" s="25">
        <v>15.5</v>
      </c>
      <c r="S292" s="25">
        <v>16</v>
      </c>
      <c r="T292" s="25">
        <v>25</v>
      </c>
      <c r="U292" s="26">
        <v>15</v>
      </c>
      <c r="V292" s="20">
        <v>151.5</v>
      </c>
    </row>
    <row r="293" spans="1:22" ht="43.8" thickBot="1">
      <c r="A293" s="14"/>
      <c r="B293" s="14" t="s">
        <v>38</v>
      </c>
      <c r="C293" s="15">
        <v>103925</v>
      </c>
      <c r="D293" s="15">
        <v>24036227</v>
      </c>
      <c r="E293" s="14" t="s">
        <v>39</v>
      </c>
      <c r="F293" s="16" t="s">
        <v>13</v>
      </c>
      <c r="G293" s="14" t="s">
        <v>40</v>
      </c>
      <c r="H293" s="14"/>
      <c r="I293" s="17">
        <v>10</v>
      </c>
      <c r="J293" s="17">
        <v>5</v>
      </c>
      <c r="K293" s="17">
        <v>5</v>
      </c>
      <c r="L293" s="17">
        <v>0</v>
      </c>
      <c r="M293" s="17">
        <v>10</v>
      </c>
      <c r="N293" s="18">
        <v>2</v>
      </c>
      <c r="O293" s="17">
        <v>16</v>
      </c>
      <c r="P293" s="17">
        <v>16</v>
      </c>
      <c r="Q293" s="17">
        <v>16</v>
      </c>
      <c r="R293" s="17">
        <v>16</v>
      </c>
      <c r="S293" s="17">
        <v>16</v>
      </c>
      <c r="T293" s="17">
        <v>25</v>
      </c>
      <c r="U293" s="18">
        <v>15</v>
      </c>
      <c r="V293" s="20">
        <v>152</v>
      </c>
    </row>
    <row r="294" spans="1:22" ht="43.8" thickBot="1">
      <c r="A294" s="23"/>
      <c r="B294" s="23" t="s">
        <v>521</v>
      </c>
      <c r="C294" s="22">
        <v>104255</v>
      </c>
      <c r="D294" s="22">
        <v>24035649</v>
      </c>
      <c r="E294" s="23" t="s">
        <v>522</v>
      </c>
      <c r="F294" s="24" t="s">
        <v>13</v>
      </c>
      <c r="G294" s="23" t="s">
        <v>17</v>
      </c>
      <c r="H294" s="21"/>
      <c r="I294" s="25">
        <v>5</v>
      </c>
      <c r="J294" s="25">
        <v>5</v>
      </c>
      <c r="K294" s="25">
        <v>10</v>
      </c>
      <c r="L294" s="25">
        <v>5</v>
      </c>
      <c r="M294" s="25">
        <v>10</v>
      </c>
      <c r="N294" s="26">
        <v>10</v>
      </c>
      <c r="O294" s="25">
        <v>16</v>
      </c>
      <c r="P294" s="25">
        <v>20</v>
      </c>
      <c r="Q294" s="25">
        <v>16</v>
      </c>
      <c r="R294" s="25">
        <v>12.5</v>
      </c>
      <c r="S294" s="25">
        <v>14</v>
      </c>
      <c r="T294" s="25">
        <v>24</v>
      </c>
      <c r="U294" s="26">
        <v>5</v>
      </c>
      <c r="V294" s="20">
        <v>152.5</v>
      </c>
    </row>
    <row r="295" spans="1:22" ht="43.8" thickBot="1">
      <c r="A295" s="14"/>
      <c r="B295" s="14" t="s">
        <v>725</v>
      </c>
      <c r="C295" s="15">
        <v>108757</v>
      </c>
      <c r="D295" s="15">
        <v>24103326</v>
      </c>
      <c r="E295" s="14" t="s">
        <v>726</v>
      </c>
      <c r="F295" s="16" t="s">
        <v>13</v>
      </c>
      <c r="G295" s="14" t="s">
        <v>17</v>
      </c>
      <c r="H295" s="14"/>
      <c r="I295" s="17">
        <v>0</v>
      </c>
      <c r="J295" s="17">
        <v>10</v>
      </c>
      <c r="K295" s="17">
        <v>10</v>
      </c>
      <c r="L295" s="17">
        <v>5</v>
      </c>
      <c r="M295" s="17">
        <v>10</v>
      </c>
      <c r="N295" s="18">
        <v>10</v>
      </c>
      <c r="O295" s="17">
        <v>16</v>
      </c>
      <c r="P295" s="17">
        <v>16</v>
      </c>
      <c r="Q295" s="17">
        <v>14</v>
      </c>
      <c r="R295" s="17">
        <v>14.5</v>
      </c>
      <c r="S295" s="17">
        <v>16</v>
      </c>
      <c r="T295" s="17">
        <v>25</v>
      </c>
      <c r="U295" s="18">
        <v>6</v>
      </c>
      <c r="V295" s="20">
        <v>152.5</v>
      </c>
    </row>
    <row r="296" spans="1:22" ht="43.8" thickBot="1">
      <c r="A296" s="23"/>
      <c r="B296" s="23" t="s">
        <v>593</v>
      </c>
      <c r="C296" s="22">
        <v>111146</v>
      </c>
      <c r="D296" s="22">
        <v>24143803</v>
      </c>
      <c r="E296" s="23" t="s">
        <v>594</v>
      </c>
      <c r="F296" s="24" t="s">
        <v>13</v>
      </c>
      <c r="G296" s="23" t="s">
        <v>40</v>
      </c>
      <c r="H296" s="21"/>
      <c r="I296" s="25">
        <v>10</v>
      </c>
      <c r="J296" s="25">
        <v>7</v>
      </c>
      <c r="K296" s="25">
        <v>10</v>
      </c>
      <c r="L296" s="25">
        <v>0</v>
      </c>
      <c r="M296" s="25">
        <v>10</v>
      </c>
      <c r="N296" s="26">
        <v>10</v>
      </c>
      <c r="O296" s="25">
        <v>7</v>
      </c>
      <c r="P296" s="25">
        <v>16</v>
      </c>
      <c r="Q296" s="25">
        <v>14</v>
      </c>
      <c r="R296" s="25">
        <v>12.5</v>
      </c>
      <c r="S296" s="25">
        <v>16</v>
      </c>
      <c r="T296" s="25">
        <v>25</v>
      </c>
      <c r="U296" s="26">
        <v>15</v>
      </c>
      <c r="V296" s="20">
        <v>152.5</v>
      </c>
    </row>
    <row r="297" spans="1:22" ht="43.8" thickBot="1">
      <c r="A297" s="14"/>
      <c r="B297" s="14" t="s">
        <v>523</v>
      </c>
      <c r="C297" s="15">
        <v>112175</v>
      </c>
      <c r="D297" s="15">
        <v>24158321</v>
      </c>
      <c r="E297" s="14" t="s">
        <v>524</v>
      </c>
      <c r="F297" s="16" t="s">
        <v>13</v>
      </c>
      <c r="G297" s="14" t="s">
        <v>14</v>
      </c>
      <c r="H297" s="14"/>
      <c r="I297" s="17">
        <v>10</v>
      </c>
      <c r="J297" s="17">
        <v>10</v>
      </c>
      <c r="K297" s="17">
        <v>10</v>
      </c>
      <c r="L297" s="17">
        <v>5</v>
      </c>
      <c r="M297" s="17">
        <v>10</v>
      </c>
      <c r="N297" s="18">
        <v>4</v>
      </c>
      <c r="O297" s="17">
        <v>15</v>
      </c>
      <c r="P297" s="17">
        <v>16</v>
      </c>
      <c r="Q297" s="17">
        <v>16</v>
      </c>
      <c r="R297" s="17">
        <v>14.5</v>
      </c>
      <c r="S297" s="17">
        <v>16</v>
      </c>
      <c r="T297" s="17">
        <v>25</v>
      </c>
      <c r="U297" s="18">
        <v>1</v>
      </c>
      <c r="V297" s="20">
        <v>152.5</v>
      </c>
    </row>
    <row r="298" spans="1:22" ht="43.8" thickBot="1">
      <c r="A298" s="23"/>
      <c r="B298" s="23" t="s">
        <v>447</v>
      </c>
      <c r="C298" s="22">
        <v>108226</v>
      </c>
      <c r="D298" s="22">
        <v>24094605</v>
      </c>
      <c r="E298" s="23" t="s">
        <v>448</v>
      </c>
      <c r="F298" s="24" t="s">
        <v>13</v>
      </c>
      <c r="G298" s="23" t="s">
        <v>20</v>
      </c>
      <c r="H298" s="21"/>
      <c r="I298" s="25">
        <v>10</v>
      </c>
      <c r="J298" s="25">
        <v>5</v>
      </c>
      <c r="K298" s="25">
        <v>10</v>
      </c>
      <c r="L298" s="25">
        <v>5</v>
      </c>
      <c r="M298" s="25">
        <v>0</v>
      </c>
      <c r="N298" s="26">
        <v>10</v>
      </c>
      <c r="O298" s="25">
        <v>16</v>
      </c>
      <c r="P298" s="25">
        <v>20</v>
      </c>
      <c r="Q298" s="25">
        <v>16</v>
      </c>
      <c r="R298" s="25">
        <v>13.5</v>
      </c>
      <c r="S298" s="25">
        <v>16</v>
      </c>
      <c r="T298" s="25">
        <v>25</v>
      </c>
      <c r="U298" s="26">
        <v>6</v>
      </c>
      <c r="V298" s="20">
        <v>152.5</v>
      </c>
    </row>
    <row r="299" spans="1:22" ht="43.8" thickBot="1">
      <c r="A299" s="14"/>
      <c r="B299" s="14" t="s">
        <v>551</v>
      </c>
      <c r="C299" s="15">
        <v>111760</v>
      </c>
      <c r="D299" s="15">
        <v>24151266</v>
      </c>
      <c r="E299" s="14" t="s">
        <v>552</v>
      </c>
      <c r="F299" s="16" t="s">
        <v>13</v>
      </c>
      <c r="G299" s="14" t="s">
        <v>27</v>
      </c>
      <c r="H299" s="14"/>
      <c r="I299" s="17">
        <v>7</v>
      </c>
      <c r="J299" s="17">
        <v>10</v>
      </c>
      <c r="K299" s="17">
        <v>5</v>
      </c>
      <c r="L299" s="17">
        <v>5</v>
      </c>
      <c r="M299" s="17">
        <v>0</v>
      </c>
      <c r="N299" s="18">
        <v>10</v>
      </c>
      <c r="O299" s="17">
        <v>16</v>
      </c>
      <c r="P299" s="17">
        <v>20</v>
      </c>
      <c r="Q299" s="17">
        <v>16</v>
      </c>
      <c r="R299" s="17">
        <v>16</v>
      </c>
      <c r="S299" s="17">
        <v>8</v>
      </c>
      <c r="T299" s="17">
        <v>25</v>
      </c>
      <c r="U299" s="18">
        <v>15</v>
      </c>
      <c r="V299" s="20">
        <v>153</v>
      </c>
    </row>
    <row r="300" spans="1:22" ht="43.8" thickBot="1">
      <c r="A300" s="23"/>
      <c r="B300" s="23" t="s">
        <v>241</v>
      </c>
      <c r="C300" s="22">
        <v>112210</v>
      </c>
      <c r="D300" s="22">
        <v>24158389</v>
      </c>
      <c r="E300" s="23" t="s">
        <v>242</v>
      </c>
      <c r="F300" s="24" t="s">
        <v>13</v>
      </c>
      <c r="G300" s="23" t="s">
        <v>20</v>
      </c>
      <c r="H300" s="21"/>
      <c r="I300" s="25">
        <v>10</v>
      </c>
      <c r="J300" s="25">
        <v>10</v>
      </c>
      <c r="K300" s="25">
        <v>0</v>
      </c>
      <c r="L300" s="25">
        <v>0</v>
      </c>
      <c r="M300" s="25">
        <v>10</v>
      </c>
      <c r="N300" s="26">
        <v>5</v>
      </c>
      <c r="O300" s="25">
        <v>16</v>
      </c>
      <c r="P300" s="25">
        <v>16</v>
      </c>
      <c r="Q300" s="25">
        <v>14</v>
      </c>
      <c r="R300" s="25">
        <v>16</v>
      </c>
      <c r="S300" s="25">
        <v>16</v>
      </c>
      <c r="T300" s="25">
        <v>25</v>
      </c>
      <c r="U300" s="26">
        <v>15</v>
      </c>
      <c r="V300" s="20">
        <v>153</v>
      </c>
    </row>
    <row r="301" spans="1:22" ht="43.8" thickBot="1">
      <c r="A301" s="14"/>
      <c r="B301" s="14" t="s">
        <v>651</v>
      </c>
      <c r="C301" s="15">
        <v>103245</v>
      </c>
      <c r="D301" s="15">
        <v>24036788</v>
      </c>
      <c r="E301" s="14" t="s">
        <v>652</v>
      </c>
      <c r="F301" s="16" t="s">
        <v>13</v>
      </c>
      <c r="G301" s="14" t="s">
        <v>14</v>
      </c>
      <c r="H301" s="14"/>
      <c r="I301" s="17">
        <v>10</v>
      </c>
      <c r="J301" s="17">
        <v>5</v>
      </c>
      <c r="K301" s="17">
        <v>10</v>
      </c>
      <c r="L301" s="17">
        <v>5</v>
      </c>
      <c r="M301" s="17">
        <v>5</v>
      </c>
      <c r="N301" s="18">
        <v>9</v>
      </c>
      <c r="O301" s="17">
        <v>16</v>
      </c>
      <c r="P301" s="17">
        <v>19</v>
      </c>
      <c r="Q301" s="17">
        <v>14</v>
      </c>
      <c r="R301" s="17">
        <v>14.5</v>
      </c>
      <c r="S301" s="17">
        <v>16</v>
      </c>
      <c r="T301" s="17">
        <v>15</v>
      </c>
      <c r="U301" s="18">
        <v>15</v>
      </c>
      <c r="V301" s="20">
        <v>153.5</v>
      </c>
    </row>
    <row r="302" spans="1:22" ht="43.8" thickBot="1">
      <c r="A302" s="23"/>
      <c r="B302" s="23" t="s">
        <v>689</v>
      </c>
      <c r="C302" s="22">
        <v>109930</v>
      </c>
      <c r="D302" s="22">
        <v>24122077</v>
      </c>
      <c r="E302" s="23" t="s">
        <v>690</v>
      </c>
      <c r="F302" s="24" t="s">
        <v>13</v>
      </c>
      <c r="G302" s="23" t="s">
        <v>17</v>
      </c>
      <c r="H302" s="21"/>
      <c r="I302" s="25">
        <v>10</v>
      </c>
      <c r="J302" s="25">
        <v>5</v>
      </c>
      <c r="K302" s="25">
        <v>0</v>
      </c>
      <c r="L302" s="25">
        <v>5</v>
      </c>
      <c r="M302" s="25">
        <v>10</v>
      </c>
      <c r="N302" s="26">
        <v>10</v>
      </c>
      <c r="O302" s="25">
        <v>12</v>
      </c>
      <c r="P302" s="25">
        <v>15</v>
      </c>
      <c r="Q302" s="25">
        <v>15</v>
      </c>
      <c r="R302" s="25">
        <v>16</v>
      </c>
      <c r="S302" s="25">
        <v>16</v>
      </c>
      <c r="T302" s="25">
        <v>25</v>
      </c>
      <c r="U302" s="26">
        <v>15</v>
      </c>
      <c r="V302" s="20">
        <v>154</v>
      </c>
    </row>
    <row r="303" spans="1:22" ht="43.8" thickBot="1">
      <c r="A303" s="14"/>
      <c r="B303" s="14" t="s">
        <v>701</v>
      </c>
      <c r="C303" s="15">
        <v>107651</v>
      </c>
      <c r="D303" s="15">
        <v>24086394</v>
      </c>
      <c r="E303" s="14" t="s">
        <v>702</v>
      </c>
      <c r="F303" s="16" t="s">
        <v>13</v>
      </c>
      <c r="G303" s="14" t="s">
        <v>17</v>
      </c>
      <c r="H303" s="14"/>
      <c r="I303" s="17">
        <v>10</v>
      </c>
      <c r="J303" s="17">
        <v>5</v>
      </c>
      <c r="K303" s="17">
        <v>10</v>
      </c>
      <c r="L303" s="17">
        <v>5</v>
      </c>
      <c r="M303" s="17">
        <v>5</v>
      </c>
      <c r="N303" s="18">
        <v>10</v>
      </c>
      <c r="O303" s="17">
        <v>16</v>
      </c>
      <c r="P303" s="17">
        <v>5</v>
      </c>
      <c r="Q303" s="17">
        <v>16</v>
      </c>
      <c r="R303" s="17">
        <v>16</v>
      </c>
      <c r="S303" s="17">
        <v>16</v>
      </c>
      <c r="T303" s="17">
        <v>25</v>
      </c>
      <c r="U303" s="18">
        <v>15</v>
      </c>
      <c r="V303" s="20">
        <v>154</v>
      </c>
    </row>
    <row r="304" spans="1:22" ht="43.8" thickBot="1">
      <c r="A304" s="23"/>
      <c r="B304" s="23" t="s">
        <v>591</v>
      </c>
      <c r="C304" s="22">
        <v>108043</v>
      </c>
      <c r="D304" s="22">
        <v>24091545</v>
      </c>
      <c r="E304" s="23" t="s">
        <v>592</v>
      </c>
      <c r="F304" s="24" t="s">
        <v>13</v>
      </c>
      <c r="G304" s="23" t="s">
        <v>14</v>
      </c>
      <c r="H304" s="21"/>
      <c r="I304" s="25">
        <v>10</v>
      </c>
      <c r="J304" s="25">
        <v>5</v>
      </c>
      <c r="K304" s="25">
        <v>10</v>
      </c>
      <c r="L304" s="25">
        <v>10</v>
      </c>
      <c r="M304" s="25">
        <v>0</v>
      </c>
      <c r="N304" s="26">
        <v>10</v>
      </c>
      <c r="O304" s="25">
        <v>15</v>
      </c>
      <c r="P304" s="25">
        <v>16</v>
      </c>
      <c r="Q304" s="25">
        <v>16</v>
      </c>
      <c r="R304" s="25">
        <v>6</v>
      </c>
      <c r="S304" s="25">
        <v>16</v>
      </c>
      <c r="T304" s="25">
        <v>25</v>
      </c>
      <c r="U304" s="26">
        <v>15</v>
      </c>
      <c r="V304" s="20">
        <v>154</v>
      </c>
    </row>
    <row r="305" spans="1:22" ht="43.8" thickBot="1">
      <c r="A305" s="14"/>
      <c r="B305" s="14" t="s">
        <v>297</v>
      </c>
      <c r="C305" s="15">
        <v>107537</v>
      </c>
      <c r="D305" s="15">
        <v>24086343</v>
      </c>
      <c r="E305" s="14" t="s">
        <v>298</v>
      </c>
      <c r="F305" s="16" t="s">
        <v>13</v>
      </c>
      <c r="G305" s="14" t="s">
        <v>20</v>
      </c>
      <c r="H305" s="14"/>
      <c r="I305" s="17">
        <v>10</v>
      </c>
      <c r="J305" s="17">
        <v>10</v>
      </c>
      <c r="K305" s="17">
        <v>0</v>
      </c>
      <c r="L305" s="17">
        <v>5</v>
      </c>
      <c r="M305" s="17">
        <v>10</v>
      </c>
      <c r="N305" s="18">
        <v>10</v>
      </c>
      <c r="O305" s="17">
        <v>16</v>
      </c>
      <c r="P305" s="17">
        <v>20</v>
      </c>
      <c r="Q305" s="17">
        <v>15</v>
      </c>
      <c r="R305" s="17">
        <v>16</v>
      </c>
      <c r="S305" s="17">
        <v>16</v>
      </c>
      <c r="T305" s="17">
        <v>25</v>
      </c>
      <c r="U305" s="18">
        <v>1</v>
      </c>
      <c r="V305" s="20">
        <v>154</v>
      </c>
    </row>
    <row r="306" spans="1:22" ht="43.8" thickBot="1">
      <c r="A306" s="23"/>
      <c r="B306" s="23" t="s">
        <v>73</v>
      </c>
      <c r="C306" s="22">
        <v>111738</v>
      </c>
      <c r="D306" s="22">
        <v>24151232</v>
      </c>
      <c r="E306" s="23" t="s">
        <v>74</v>
      </c>
      <c r="F306" s="24" t="s">
        <v>13</v>
      </c>
      <c r="G306" s="23" t="s">
        <v>17</v>
      </c>
      <c r="H306" s="21"/>
      <c r="I306" s="25">
        <v>7</v>
      </c>
      <c r="J306" s="25">
        <v>5</v>
      </c>
      <c r="K306" s="25">
        <v>10</v>
      </c>
      <c r="L306" s="25">
        <v>5</v>
      </c>
      <c r="M306" s="25">
        <v>10</v>
      </c>
      <c r="N306" s="26">
        <v>7</v>
      </c>
      <c r="O306" s="25">
        <v>16</v>
      </c>
      <c r="P306" s="25">
        <v>16</v>
      </c>
      <c r="Q306" s="25">
        <v>16</v>
      </c>
      <c r="R306" s="25">
        <v>15.5</v>
      </c>
      <c r="S306" s="25">
        <v>16</v>
      </c>
      <c r="T306" s="25">
        <v>25</v>
      </c>
      <c r="U306" s="26">
        <v>6</v>
      </c>
      <c r="V306" s="20">
        <v>154.5</v>
      </c>
    </row>
    <row r="307" spans="1:22" ht="43.8" thickBot="1">
      <c r="A307" s="14"/>
      <c r="B307" s="14" t="s">
        <v>415</v>
      </c>
      <c r="C307" s="15">
        <v>104406</v>
      </c>
      <c r="D307" s="15">
        <v>24036448</v>
      </c>
      <c r="E307" s="14" t="s">
        <v>416</v>
      </c>
      <c r="F307" s="16" t="s">
        <v>13</v>
      </c>
      <c r="G307" s="14" t="s">
        <v>27</v>
      </c>
      <c r="H307" s="14"/>
      <c r="I307" s="17">
        <v>5</v>
      </c>
      <c r="J307" s="17">
        <v>10</v>
      </c>
      <c r="K307" s="17">
        <v>5</v>
      </c>
      <c r="L307" s="17">
        <v>5</v>
      </c>
      <c r="M307" s="17">
        <v>5</v>
      </c>
      <c r="N307" s="18">
        <v>10</v>
      </c>
      <c r="O307" s="17">
        <v>15</v>
      </c>
      <c r="P307" s="17">
        <v>16</v>
      </c>
      <c r="Q307" s="17">
        <v>14</v>
      </c>
      <c r="R307" s="17">
        <v>13.5</v>
      </c>
      <c r="S307" s="17">
        <v>16</v>
      </c>
      <c r="T307" s="17">
        <v>25</v>
      </c>
      <c r="U307" s="18">
        <v>15</v>
      </c>
      <c r="V307" s="20">
        <v>154.5</v>
      </c>
    </row>
    <row r="308" spans="1:22" ht="43.8" thickBot="1">
      <c r="A308" s="23"/>
      <c r="B308" s="23" t="s">
        <v>191</v>
      </c>
      <c r="C308" s="22">
        <v>111049</v>
      </c>
      <c r="D308" s="22">
        <v>24142137</v>
      </c>
      <c r="E308" s="23" t="s">
        <v>192</v>
      </c>
      <c r="F308" s="24" t="s">
        <v>13</v>
      </c>
      <c r="G308" s="23" t="s">
        <v>40</v>
      </c>
      <c r="H308" s="21"/>
      <c r="I308" s="25">
        <v>5</v>
      </c>
      <c r="J308" s="25">
        <v>10</v>
      </c>
      <c r="K308" s="25">
        <v>10</v>
      </c>
      <c r="L308" s="25">
        <v>5</v>
      </c>
      <c r="M308" s="25">
        <v>5</v>
      </c>
      <c r="N308" s="26">
        <v>5</v>
      </c>
      <c r="O308" s="25">
        <v>11</v>
      </c>
      <c r="P308" s="25">
        <v>16</v>
      </c>
      <c r="Q308" s="25">
        <v>16</v>
      </c>
      <c r="R308" s="25">
        <v>15.5</v>
      </c>
      <c r="S308" s="25">
        <v>16</v>
      </c>
      <c r="T308" s="25">
        <v>25</v>
      </c>
      <c r="U308" s="26">
        <v>15</v>
      </c>
      <c r="V308" s="20">
        <v>154.5</v>
      </c>
    </row>
    <row r="309" spans="1:22" ht="43.8" thickBot="1">
      <c r="A309" s="14"/>
      <c r="B309" s="14" t="s">
        <v>421</v>
      </c>
      <c r="C309" s="15">
        <v>103981</v>
      </c>
      <c r="D309" s="15">
        <v>24037485</v>
      </c>
      <c r="E309" s="14" t="s">
        <v>422</v>
      </c>
      <c r="F309" s="16" t="s">
        <v>13</v>
      </c>
      <c r="G309" s="14" t="s">
        <v>40</v>
      </c>
      <c r="H309" s="14"/>
      <c r="I309" s="17">
        <v>10</v>
      </c>
      <c r="J309" s="17">
        <v>5</v>
      </c>
      <c r="K309" s="17">
        <v>10</v>
      </c>
      <c r="L309" s="17">
        <v>5</v>
      </c>
      <c r="M309" s="17">
        <v>5</v>
      </c>
      <c r="N309" s="18">
        <v>9</v>
      </c>
      <c r="O309" s="17">
        <v>16</v>
      </c>
      <c r="P309" s="17">
        <v>16</v>
      </c>
      <c r="Q309" s="17">
        <v>16</v>
      </c>
      <c r="R309" s="17">
        <v>6.5</v>
      </c>
      <c r="S309" s="17">
        <v>16</v>
      </c>
      <c r="T309" s="17">
        <v>25</v>
      </c>
      <c r="U309" s="18">
        <v>15</v>
      </c>
      <c r="V309" s="20">
        <v>154.5</v>
      </c>
    </row>
    <row r="310" spans="1:22" ht="43.8" thickBot="1">
      <c r="A310" s="23"/>
      <c r="B310" s="23" t="s">
        <v>561</v>
      </c>
      <c r="C310" s="22">
        <v>103208</v>
      </c>
      <c r="D310" s="22">
        <v>24011968</v>
      </c>
      <c r="E310" s="23" t="s">
        <v>562</v>
      </c>
      <c r="F310" s="24" t="s">
        <v>13</v>
      </c>
      <c r="G310" s="23" t="s">
        <v>40</v>
      </c>
      <c r="H310" s="21"/>
      <c r="I310" s="25">
        <v>0</v>
      </c>
      <c r="J310" s="25">
        <v>10</v>
      </c>
      <c r="K310" s="25">
        <v>10</v>
      </c>
      <c r="L310" s="25">
        <v>5</v>
      </c>
      <c r="M310" s="25">
        <v>5</v>
      </c>
      <c r="N310" s="26">
        <v>10</v>
      </c>
      <c r="O310" s="25">
        <v>15</v>
      </c>
      <c r="P310" s="25">
        <v>14</v>
      </c>
      <c r="Q310" s="25">
        <v>14</v>
      </c>
      <c r="R310" s="25">
        <v>15.5</v>
      </c>
      <c r="S310" s="25">
        <v>16</v>
      </c>
      <c r="T310" s="25">
        <v>25</v>
      </c>
      <c r="U310" s="26">
        <v>15</v>
      </c>
      <c r="V310" s="20">
        <v>154.5</v>
      </c>
    </row>
    <row r="311" spans="1:22" ht="43.8" thickBot="1">
      <c r="A311" s="14"/>
      <c r="B311" s="14" t="s">
        <v>495</v>
      </c>
      <c r="C311" s="15">
        <v>103407</v>
      </c>
      <c r="D311" s="15">
        <v>24036839</v>
      </c>
      <c r="E311" s="14" t="s">
        <v>496</v>
      </c>
      <c r="F311" s="16" t="s">
        <v>13</v>
      </c>
      <c r="G311" s="14" t="s">
        <v>14</v>
      </c>
      <c r="H311" s="14"/>
      <c r="I311" s="17">
        <v>7</v>
      </c>
      <c r="J311" s="17">
        <v>7</v>
      </c>
      <c r="K311" s="17">
        <v>10</v>
      </c>
      <c r="L311" s="17">
        <v>5</v>
      </c>
      <c r="M311" s="17">
        <v>5</v>
      </c>
      <c r="N311" s="18">
        <v>10</v>
      </c>
      <c r="O311" s="17">
        <v>16</v>
      </c>
      <c r="P311" s="17">
        <v>20</v>
      </c>
      <c r="Q311" s="17">
        <v>16</v>
      </c>
      <c r="R311" s="17">
        <v>15.5</v>
      </c>
      <c r="S311" s="17">
        <v>14</v>
      </c>
      <c r="T311" s="17">
        <v>25</v>
      </c>
      <c r="U311" s="18">
        <v>4</v>
      </c>
      <c r="V311" s="20">
        <v>154.5</v>
      </c>
    </row>
    <row r="312" spans="1:22" ht="43.8" thickBot="1">
      <c r="A312" s="23"/>
      <c r="B312" s="23" t="s">
        <v>99</v>
      </c>
      <c r="C312" s="22">
        <v>103108</v>
      </c>
      <c r="D312" s="22">
        <v>24035683</v>
      </c>
      <c r="E312" s="23" t="s">
        <v>100</v>
      </c>
      <c r="F312" s="24" t="s">
        <v>13</v>
      </c>
      <c r="G312" s="23" t="s">
        <v>20</v>
      </c>
      <c r="H312" s="21"/>
      <c r="I312" s="25">
        <v>10</v>
      </c>
      <c r="J312" s="25">
        <v>5</v>
      </c>
      <c r="K312" s="25">
        <v>10</v>
      </c>
      <c r="L312" s="25">
        <v>10</v>
      </c>
      <c r="M312" s="25">
        <v>5</v>
      </c>
      <c r="N312" s="26">
        <v>4</v>
      </c>
      <c r="O312" s="25">
        <v>15</v>
      </c>
      <c r="P312" s="25">
        <v>16</v>
      </c>
      <c r="Q312" s="25">
        <v>16</v>
      </c>
      <c r="R312" s="25">
        <v>15.5</v>
      </c>
      <c r="S312" s="25">
        <v>8</v>
      </c>
      <c r="T312" s="25">
        <v>25</v>
      </c>
      <c r="U312" s="26">
        <v>15</v>
      </c>
      <c r="V312" s="20">
        <v>154.5</v>
      </c>
    </row>
    <row r="313" spans="1:22" ht="43.8" thickBot="1">
      <c r="A313" s="14"/>
      <c r="B313" s="14" t="s">
        <v>209</v>
      </c>
      <c r="C313" s="15">
        <v>112891</v>
      </c>
      <c r="D313" s="15">
        <v>24168861</v>
      </c>
      <c r="E313" s="14" t="s">
        <v>210</v>
      </c>
      <c r="F313" s="16" t="s">
        <v>13</v>
      </c>
      <c r="G313" s="14" t="s">
        <v>17</v>
      </c>
      <c r="H313" s="14"/>
      <c r="I313" s="17">
        <v>10</v>
      </c>
      <c r="J313" s="17">
        <v>5</v>
      </c>
      <c r="K313" s="17">
        <v>10</v>
      </c>
      <c r="L313" s="17">
        <v>5</v>
      </c>
      <c r="M313" s="17">
        <v>10</v>
      </c>
      <c r="N313" s="18">
        <v>10</v>
      </c>
      <c r="O313" s="17">
        <v>5</v>
      </c>
      <c r="P313" s="17">
        <v>12</v>
      </c>
      <c r="Q313" s="17">
        <v>16</v>
      </c>
      <c r="R313" s="17">
        <v>16</v>
      </c>
      <c r="S313" s="17">
        <v>16</v>
      </c>
      <c r="T313" s="17">
        <v>25</v>
      </c>
      <c r="U313" s="18">
        <v>15</v>
      </c>
      <c r="V313" s="20">
        <v>155</v>
      </c>
    </row>
    <row r="314" spans="1:22" ht="43.8" thickBot="1">
      <c r="A314" s="23"/>
      <c r="B314" s="23" t="s">
        <v>147</v>
      </c>
      <c r="C314" s="22">
        <v>107226</v>
      </c>
      <c r="D314" s="22">
        <v>24079509</v>
      </c>
      <c r="E314" s="23" t="s">
        <v>148</v>
      </c>
      <c r="F314" s="24" t="s">
        <v>13</v>
      </c>
      <c r="G314" s="23" t="s">
        <v>27</v>
      </c>
      <c r="H314" s="21"/>
      <c r="I314" s="25">
        <v>10</v>
      </c>
      <c r="J314" s="25">
        <v>10</v>
      </c>
      <c r="K314" s="25">
        <v>10</v>
      </c>
      <c r="L314" s="25">
        <v>0</v>
      </c>
      <c r="M314" s="25">
        <v>10</v>
      </c>
      <c r="N314" s="26">
        <v>10</v>
      </c>
      <c r="O314" s="25">
        <v>10</v>
      </c>
      <c r="P314" s="25">
        <v>16</v>
      </c>
      <c r="Q314" s="25">
        <v>16</v>
      </c>
      <c r="R314" s="25">
        <v>16</v>
      </c>
      <c r="S314" s="25">
        <v>16</v>
      </c>
      <c r="T314" s="25">
        <v>25</v>
      </c>
      <c r="U314" s="26">
        <v>6</v>
      </c>
      <c r="V314" s="20">
        <v>155</v>
      </c>
    </row>
    <row r="315" spans="1:22" ht="43.8" thickBot="1">
      <c r="A315" s="14"/>
      <c r="B315" s="14" t="s">
        <v>185</v>
      </c>
      <c r="C315" s="15">
        <v>110331</v>
      </c>
      <c r="D315" s="15">
        <v>24129523</v>
      </c>
      <c r="E315" s="14" t="s">
        <v>186</v>
      </c>
      <c r="F315" s="16" t="s">
        <v>13</v>
      </c>
      <c r="G315" s="14" t="s">
        <v>27</v>
      </c>
      <c r="H315" s="14"/>
      <c r="I315" s="17">
        <v>10</v>
      </c>
      <c r="J315" s="17">
        <v>10</v>
      </c>
      <c r="K315" s="17">
        <v>10</v>
      </c>
      <c r="L315" s="17">
        <v>0</v>
      </c>
      <c r="M315" s="17">
        <v>10</v>
      </c>
      <c r="N315" s="18">
        <v>10</v>
      </c>
      <c r="O315" s="17">
        <v>5</v>
      </c>
      <c r="P315" s="17">
        <v>16</v>
      </c>
      <c r="Q315" s="17">
        <v>15</v>
      </c>
      <c r="R315" s="17">
        <v>15.5</v>
      </c>
      <c r="S315" s="17">
        <v>14</v>
      </c>
      <c r="T315" s="17">
        <v>25</v>
      </c>
      <c r="U315" s="18">
        <v>15</v>
      </c>
      <c r="V315" s="20">
        <v>155.5</v>
      </c>
    </row>
    <row r="316" spans="1:22" ht="43.8" thickBot="1">
      <c r="A316" s="23"/>
      <c r="B316" s="23" t="s">
        <v>265</v>
      </c>
      <c r="C316" s="22">
        <v>104102</v>
      </c>
      <c r="D316" s="22">
        <v>24011900</v>
      </c>
      <c r="E316" s="23" t="s">
        <v>266</v>
      </c>
      <c r="F316" s="24" t="s">
        <v>13</v>
      </c>
      <c r="G316" s="23" t="s">
        <v>40</v>
      </c>
      <c r="H316" s="21"/>
      <c r="I316" s="25">
        <v>10</v>
      </c>
      <c r="J316" s="25">
        <v>10</v>
      </c>
      <c r="K316" s="25">
        <v>10</v>
      </c>
      <c r="L316" s="25">
        <v>5</v>
      </c>
      <c r="M316" s="25">
        <v>5</v>
      </c>
      <c r="N316" s="26">
        <v>10</v>
      </c>
      <c r="O316" s="25">
        <v>16</v>
      </c>
      <c r="P316" s="25">
        <v>16</v>
      </c>
      <c r="Q316" s="25">
        <v>16</v>
      </c>
      <c r="R316" s="25">
        <v>12.5</v>
      </c>
      <c r="S316" s="25">
        <v>16</v>
      </c>
      <c r="T316" s="25">
        <v>25</v>
      </c>
      <c r="U316" s="26">
        <v>4</v>
      </c>
      <c r="V316" s="20">
        <v>155.5</v>
      </c>
    </row>
    <row r="317" spans="1:22" ht="43.8" thickBot="1">
      <c r="A317" s="14"/>
      <c r="B317" s="14" t="s">
        <v>45</v>
      </c>
      <c r="C317" s="15">
        <v>103880</v>
      </c>
      <c r="D317" s="15">
        <v>24037026</v>
      </c>
      <c r="E317" s="14" t="s">
        <v>46</v>
      </c>
      <c r="F317" s="16" t="s">
        <v>13</v>
      </c>
      <c r="G317" s="14" t="s">
        <v>17</v>
      </c>
      <c r="H317" s="14"/>
      <c r="I317" s="17">
        <v>5</v>
      </c>
      <c r="J317" s="17">
        <v>10</v>
      </c>
      <c r="K317" s="17">
        <v>10</v>
      </c>
      <c r="L317" s="17">
        <v>5</v>
      </c>
      <c r="M317" s="17">
        <v>0</v>
      </c>
      <c r="N317" s="18">
        <v>10</v>
      </c>
      <c r="O317" s="17">
        <v>8</v>
      </c>
      <c r="P317" s="17">
        <v>20</v>
      </c>
      <c r="Q317" s="17">
        <v>16</v>
      </c>
      <c r="R317" s="17">
        <v>16</v>
      </c>
      <c r="S317" s="17">
        <v>16</v>
      </c>
      <c r="T317" s="17">
        <v>25</v>
      </c>
      <c r="U317" s="18">
        <v>15</v>
      </c>
      <c r="V317" s="20">
        <v>156</v>
      </c>
    </row>
    <row r="318" spans="1:22" ht="43.8" thickBot="1">
      <c r="A318" s="23"/>
      <c r="B318" s="23" t="s">
        <v>367</v>
      </c>
      <c r="C318" s="22">
        <v>103190</v>
      </c>
      <c r="D318" s="22">
        <v>24036142</v>
      </c>
      <c r="E318" s="23" t="s">
        <v>368</v>
      </c>
      <c r="F318" s="24" t="s">
        <v>13</v>
      </c>
      <c r="G318" s="23" t="s">
        <v>27</v>
      </c>
      <c r="H318" s="21"/>
      <c r="I318" s="25">
        <v>5</v>
      </c>
      <c r="J318" s="25">
        <v>5</v>
      </c>
      <c r="K318" s="25">
        <v>10</v>
      </c>
      <c r="L318" s="25">
        <v>5</v>
      </c>
      <c r="M318" s="25">
        <v>10</v>
      </c>
      <c r="N318" s="26">
        <v>4</v>
      </c>
      <c r="O318" s="25">
        <v>16</v>
      </c>
      <c r="P318" s="25">
        <v>15</v>
      </c>
      <c r="Q318" s="25">
        <v>16</v>
      </c>
      <c r="R318" s="25">
        <v>16</v>
      </c>
      <c r="S318" s="25">
        <v>14</v>
      </c>
      <c r="T318" s="25">
        <v>25</v>
      </c>
      <c r="U318" s="26">
        <v>15</v>
      </c>
      <c r="V318" s="20">
        <v>156</v>
      </c>
    </row>
    <row r="319" spans="1:22" ht="43.8" thickBot="1">
      <c r="A319" s="14"/>
      <c r="B319" s="14" t="s">
        <v>519</v>
      </c>
      <c r="C319" s="15">
        <v>103766</v>
      </c>
      <c r="D319" s="15">
        <v>24036244</v>
      </c>
      <c r="E319" s="14" t="s">
        <v>520</v>
      </c>
      <c r="F319" s="16" t="s">
        <v>13</v>
      </c>
      <c r="G319" s="14" t="s">
        <v>27</v>
      </c>
      <c r="H319" s="14"/>
      <c r="I319" s="17">
        <v>7</v>
      </c>
      <c r="J319" s="17">
        <v>5</v>
      </c>
      <c r="K319" s="17">
        <v>10</v>
      </c>
      <c r="L319" s="17">
        <v>5</v>
      </c>
      <c r="M319" s="17">
        <v>5</v>
      </c>
      <c r="N319" s="18">
        <v>10</v>
      </c>
      <c r="O319" s="17">
        <v>16</v>
      </c>
      <c r="P319" s="17">
        <v>20</v>
      </c>
      <c r="Q319" s="17">
        <v>16</v>
      </c>
      <c r="R319" s="17">
        <v>16</v>
      </c>
      <c r="S319" s="17">
        <v>16</v>
      </c>
      <c r="T319" s="17">
        <v>25</v>
      </c>
      <c r="U319" s="18">
        <v>5</v>
      </c>
      <c r="V319" s="20">
        <v>156</v>
      </c>
    </row>
    <row r="320" spans="1:22" ht="43.8" thickBot="1">
      <c r="A320" s="23"/>
      <c r="B320" s="23" t="s">
        <v>693</v>
      </c>
      <c r="C320" s="22">
        <v>102986</v>
      </c>
      <c r="D320" s="22">
        <v>24036278</v>
      </c>
      <c r="E320" s="23" t="s">
        <v>694</v>
      </c>
      <c r="F320" s="24" t="s">
        <v>13</v>
      </c>
      <c r="G320" s="23" t="s">
        <v>17</v>
      </c>
      <c r="H320" s="21"/>
      <c r="I320" s="25">
        <v>5</v>
      </c>
      <c r="J320" s="25">
        <v>5</v>
      </c>
      <c r="K320" s="25">
        <v>10</v>
      </c>
      <c r="L320" s="25">
        <v>5</v>
      </c>
      <c r="M320" s="25">
        <v>5</v>
      </c>
      <c r="N320" s="26">
        <v>10</v>
      </c>
      <c r="O320" s="25">
        <v>16</v>
      </c>
      <c r="P320" s="25">
        <v>16</v>
      </c>
      <c r="Q320" s="25">
        <v>16</v>
      </c>
      <c r="R320" s="25">
        <v>13</v>
      </c>
      <c r="S320" s="25">
        <v>16</v>
      </c>
      <c r="T320" s="25">
        <v>25</v>
      </c>
      <c r="U320" s="26">
        <v>15</v>
      </c>
      <c r="V320" s="20">
        <v>157</v>
      </c>
    </row>
    <row r="321" spans="1:22" ht="43.8" thickBot="1">
      <c r="A321" s="14"/>
      <c r="B321" s="14" t="s">
        <v>695</v>
      </c>
      <c r="C321" s="15">
        <v>107213</v>
      </c>
      <c r="D321" s="15">
        <v>24079798</v>
      </c>
      <c r="E321" s="14" t="s">
        <v>696</v>
      </c>
      <c r="F321" s="16" t="s">
        <v>13</v>
      </c>
      <c r="G321" s="14" t="s">
        <v>17</v>
      </c>
      <c r="H321" s="14"/>
      <c r="I321" s="17">
        <v>10</v>
      </c>
      <c r="J321" s="17">
        <v>10</v>
      </c>
      <c r="K321" s="17">
        <v>10</v>
      </c>
      <c r="L321" s="17">
        <v>5</v>
      </c>
      <c r="M321" s="17">
        <v>10</v>
      </c>
      <c r="N321" s="18">
        <v>10</v>
      </c>
      <c r="O321" s="17">
        <v>16</v>
      </c>
      <c r="P321" s="17">
        <v>16</v>
      </c>
      <c r="Q321" s="17">
        <v>16</v>
      </c>
      <c r="R321" s="17">
        <v>13</v>
      </c>
      <c r="S321" s="17">
        <v>12</v>
      </c>
      <c r="T321" s="17">
        <v>25</v>
      </c>
      <c r="U321" s="18">
        <v>4</v>
      </c>
      <c r="V321" s="20">
        <v>157</v>
      </c>
    </row>
    <row r="322" spans="1:22" ht="43.8" thickBot="1">
      <c r="A322" s="23"/>
      <c r="B322" s="23" t="s">
        <v>253</v>
      </c>
      <c r="C322" s="22">
        <v>103204</v>
      </c>
      <c r="D322" s="22">
        <v>24036992</v>
      </c>
      <c r="E322" s="23" t="s">
        <v>254</v>
      </c>
      <c r="F322" s="24" t="s">
        <v>13</v>
      </c>
      <c r="G322" s="23" t="s">
        <v>40</v>
      </c>
      <c r="H322" s="21"/>
      <c r="I322" s="25">
        <v>10</v>
      </c>
      <c r="J322" s="25">
        <v>7</v>
      </c>
      <c r="K322" s="25">
        <v>5</v>
      </c>
      <c r="L322" s="25">
        <v>5</v>
      </c>
      <c r="M322" s="25">
        <v>10</v>
      </c>
      <c r="N322" s="26">
        <v>10</v>
      </c>
      <c r="O322" s="25">
        <v>16</v>
      </c>
      <c r="P322" s="25">
        <v>15</v>
      </c>
      <c r="Q322" s="25">
        <v>16</v>
      </c>
      <c r="R322" s="25">
        <v>16</v>
      </c>
      <c r="S322" s="25">
        <v>16</v>
      </c>
      <c r="T322" s="25">
        <v>25</v>
      </c>
      <c r="U322" s="26">
        <v>6</v>
      </c>
      <c r="V322" s="20">
        <v>157</v>
      </c>
    </row>
    <row r="323" spans="1:22" ht="43.8" thickBot="1">
      <c r="A323" s="14"/>
      <c r="B323" s="14" t="s">
        <v>11</v>
      </c>
      <c r="C323" s="15">
        <v>103851</v>
      </c>
      <c r="D323" s="15">
        <v>24036805</v>
      </c>
      <c r="E323" s="14" t="s">
        <v>12</v>
      </c>
      <c r="F323" s="16" t="s">
        <v>13</v>
      </c>
      <c r="G323" s="14" t="s">
        <v>14</v>
      </c>
      <c r="H323" s="14"/>
      <c r="I323" s="17">
        <v>10</v>
      </c>
      <c r="J323" s="17">
        <v>5</v>
      </c>
      <c r="K323" s="17">
        <v>10</v>
      </c>
      <c r="L323" s="17">
        <v>10</v>
      </c>
      <c r="M323" s="17">
        <v>5</v>
      </c>
      <c r="N323" s="18">
        <v>10</v>
      </c>
      <c r="O323" s="17">
        <v>16</v>
      </c>
      <c r="P323" s="17">
        <v>16</v>
      </c>
      <c r="Q323" s="17">
        <v>16</v>
      </c>
      <c r="R323" s="17">
        <v>13</v>
      </c>
      <c r="S323" s="17">
        <v>16</v>
      </c>
      <c r="T323" s="17">
        <v>15</v>
      </c>
      <c r="U323" s="18">
        <v>15</v>
      </c>
      <c r="V323" s="20">
        <v>157</v>
      </c>
    </row>
    <row r="324" spans="1:22" ht="43.8" thickBot="1">
      <c r="A324" s="23"/>
      <c r="B324" s="23" t="s">
        <v>639</v>
      </c>
      <c r="C324" s="22">
        <v>103686</v>
      </c>
      <c r="D324" s="22">
        <v>24036720</v>
      </c>
      <c r="E324" s="23" t="s">
        <v>640</v>
      </c>
      <c r="F324" s="24" t="s">
        <v>13</v>
      </c>
      <c r="G324" s="23" t="s">
        <v>40</v>
      </c>
      <c r="H324" s="21"/>
      <c r="I324" s="25">
        <v>10</v>
      </c>
      <c r="J324" s="25">
        <v>10</v>
      </c>
      <c r="K324" s="25">
        <v>10</v>
      </c>
      <c r="L324" s="25">
        <v>5</v>
      </c>
      <c r="M324" s="25">
        <v>5</v>
      </c>
      <c r="N324" s="26">
        <v>10</v>
      </c>
      <c r="O324" s="25">
        <v>5</v>
      </c>
      <c r="P324" s="25">
        <v>20</v>
      </c>
      <c r="Q324" s="25">
        <v>14</v>
      </c>
      <c r="R324" s="25">
        <v>13</v>
      </c>
      <c r="S324" s="25">
        <v>16</v>
      </c>
      <c r="T324" s="25">
        <v>25</v>
      </c>
      <c r="U324" s="26">
        <v>15</v>
      </c>
      <c r="V324" s="20">
        <v>158</v>
      </c>
    </row>
    <row r="325" spans="1:22" ht="43.8" thickBot="1">
      <c r="A325" s="14"/>
      <c r="B325" s="14" t="s">
        <v>219</v>
      </c>
      <c r="C325" s="15">
        <v>102988</v>
      </c>
      <c r="D325" s="15">
        <v>24036907</v>
      </c>
      <c r="E325" s="14" t="s">
        <v>220</v>
      </c>
      <c r="F325" s="16" t="s">
        <v>13</v>
      </c>
      <c r="G325" s="14" t="s">
        <v>14</v>
      </c>
      <c r="H325" s="14"/>
      <c r="I325" s="17">
        <v>10</v>
      </c>
      <c r="J325" s="17">
        <v>7</v>
      </c>
      <c r="K325" s="17">
        <v>10</v>
      </c>
      <c r="L325" s="17">
        <v>10</v>
      </c>
      <c r="M325" s="17">
        <v>5</v>
      </c>
      <c r="N325" s="18">
        <v>10</v>
      </c>
      <c r="O325" s="17">
        <v>16</v>
      </c>
      <c r="P325" s="17">
        <v>16</v>
      </c>
      <c r="Q325" s="17">
        <v>16</v>
      </c>
      <c r="R325" s="17">
        <v>12.5</v>
      </c>
      <c r="S325" s="17">
        <v>16</v>
      </c>
      <c r="T325" s="17">
        <v>25</v>
      </c>
      <c r="U325" s="18">
        <v>5</v>
      </c>
      <c r="V325" s="20">
        <v>158.5</v>
      </c>
    </row>
    <row r="326" spans="1:22" ht="43.8" thickBot="1">
      <c r="A326" s="23"/>
      <c r="B326" s="23" t="s">
        <v>97</v>
      </c>
      <c r="C326" s="22">
        <v>107954</v>
      </c>
      <c r="D326" s="22">
        <v>24092871</v>
      </c>
      <c r="E326" s="23" t="s">
        <v>98</v>
      </c>
      <c r="F326" s="24" t="s">
        <v>13</v>
      </c>
      <c r="G326" s="23" t="s">
        <v>17</v>
      </c>
      <c r="H326" s="21"/>
      <c r="I326" s="25">
        <v>5</v>
      </c>
      <c r="J326" s="25">
        <v>10</v>
      </c>
      <c r="K326" s="25">
        <v>10</v>
      </c>
      <c r="L326" s="25">
        <v>5</v>
      </c>
      <c r="M326" s="25">
        <v>10</v>
      </c>
      <c r="N326" s="26">
        <v>10</v>
      </c>
      <c r="O326" s="25">
        <v>16</v>
      </c>
      <c r="P326" s="25">
        <v>16</v>
      </c>
      <c r="Q326" s="25">
        <v>16</v>
      </c>
      <c r="R326" s="25">
        <v>13</v>
      </c>
      <c r="S326" s="25">
        <v>8</v>
      </c>
      <c r="T326" s="25">
        <v>25</v>
      </c>
      <c r="U326" s="26">
        <v>15</v>
      </c>
      <c r="V326" s="20">
        <v>159</v>
      </c>
    </row>
    <row r="327" spans="1:22" ht="43.8" thickBot="1">
      <c r="A327" s="14"/>
      <c r="B327" s="14" t="s">
        <v>617</v>
      </c>
      <c r="C327" s="15">
        <v>108746</v>
      </c>
      <c r="D327" s="15">
        <v>24103139</v>
      </c>
      <c r="E327" s="14" t="s">
        <v>618</v>
      </c>
      <c r="F327" s="16" t="s">
        <v>13</v>
      </c>
      <c r="G327" s="14" t="s">
        <v>27</v>
      </c>
      <c r="H327" s="14"/>
      <c r="I327" s="17">
        <v>10</v>
      </c>
      <c r="J327" s="17">
        <v>10</v>
      </c>
      <c r="K327" s="17">
        <v>10</v>
      </c>
      <c r="L327" s="17">
        <v>0</v>
      </c>
      <c r="M327" s="17">
        <v>10</v>
      </c>
      <c r="N327" s="18">
        <v>10</v>
      </c>
      <c r="O327" s="17">
        <v>8</v>
      </c>
      <c r="P327" s="17">
        <v>16</v>
      </c>
      <c r="Q327" s="17">
        <v>16</v>
      </c>
      <c r="R327" s="17">
        <v>13</v>
      </c>
      <c r="S327" s="17">
        <v>16</v>
      </c>
      <c r="T327" s="17">
        <v>25</v>
      </c>
      <c r="U327" s="18">
        <v>15</v>
      </c>
      <c r="V327" s="20">
        <v>159</v>
      </c>
    </row>
    <row r="328" spans="1:22" ht="43.8" thickBot="1">
      <c r="A328" s="23"/>
      <c r="B328" s="23" t="s">
        <v>609</v>
      </c>
      <c r="C328" s="22">
        <v>104347</v>
      </c>
      <c r="D328" s="22">
        <v>24035887</v>
      </c>
      <c r="E328" s="23" t="s">
        <v>610</v>
      </c>
      <c r="F328" s="24" t="s">
        <v>13</v>
      </c>
      <c r="G328" s="23" t="s">
        <v>14</v>
      </c>
      <c r="H328" s="21"/>
      <c r="I328" s="25">
        <v>5</v>
      </c>
      <c r="J328" s="25">
        <v>10</v>
      </c>
      <c r="K328" s="25">
        <v>10</v>
      </c>
      <c r="L328" s="25">
        <v>5</v>
      </c>
      <c r="M328" s="25">
        <v>10</v>
      </c>
      <c r="N328" s="26">
        <v>5</v>
      </c>
      <c r="O328" s="25">
        <v>16</v>
      </c>
      <c r="P328" s="25">
        <v>20</v>
      </c>
      <c r="Q328" s="25">
        <v>16</v>
      </c>
      <c r="R328" s="25">
        <v>16</v>
      </c>
      <c r="S328" s="25">
        <v>16</v>
      </c>
      <c r="T328" s="25">
        <v>25</v>
      </c>
      <c r="U328" s="26">
        <v>5</v>
      </c>
      <c r="V328" s="20">
        <v>159</v>
      </c>
    </row>
    <row r="329" spans="1:22" ht="43.8" thickBot="1">
      <c r="A329" s="14"/>
      <c r="B329" s="14" t="s">
        <v>101</v>
      </c>
      <c r="C329" s="15">
        <v>104265</v>
      </c>
      <c r="D329" s="15">
        <v>24036074</v>
      </c>
      <c r="E329" s="14" t="s">
        <v>102</v>
      </c>
      <c r="F329" s="16" t="s">
        <v>13</v>
      </c>
      <c r="G329" s="14" t="s">
        <v>20</v>
      </c>
      <c r="H329" s="14"/>
      <c r="I329" s="17">
        <v>0</v>
      </c>
      <c r="J329" s="17">
        <v>5</v>
      </c>
      <c r="K329" s="17">
        <v>10</v>
      </c>
      <c r="L329" s="17">
        <v>5</v>
      </c>
      <c r="M329" s="17">
        <v>10</v>
      </c>
      <c r="N329" s="18">
        <v>10</v>
      </c>
      <c r="O329" s="17">
        <v>16</v>
      </c>
      <c r="P329" s="17">
        <v>16</v>
      </c>
      <c r="Q329" s="17">
        <v>15</v>
      </c>
      <c r="R329" s="17">
        <v>16</v>
      </c>
      <c r="S329" s="17">
        <v>16</v>
      </c>
      <c r="T329" s="17">
        <v>25</v>
      </c>
      <c r="U329" s="18">
        <v>15</v>
      </c>
      <c r="V329" s="20">
        <v>159</v>
      </c>
    </row>
    <row r="330" spans="1:22" ht="43.8" thickBot="1">
      <c r="A330" s="23"/>
      <c r="B330" s="23" t="s">
        <v>715</v>
      </c>
      <c r="C330" s="22">
        <v>107374</v>
      </c>
      <c r="D330" s="22">
        <v>24082484</v>
      </c>
      <c r="E330" s="23" t="s">
        <v>716</v>
      </c>
      <c r="F330" s="24" t="s">
        <v>13</v>
      </c>
      <c r="G330" s="23" t="s">
        <v>27</v>
      </c>
      <c r="H330" s="21"/>
      <c r="I330" s="25">
        <v>5</v>
      </c>
      <c r="J330" s="25">
        <v>5</v>
      </c>
      <c r="K330" s="25">
        <v>10</v>
      </c>
      <c r="L330" s="25">
        <v>5</v>
      </c>
      <c r="M330" s="25">
        <v>10</v>
      </c>
      <c r="N330" s="26">
        <v>10</v>
      </c>
      <c r="O330" s="25">
        <v>16</v>
      </c>
      <c r="P330" s="25">
        <v>16</v>
      </c>
      <c r="Q330" s="25">
        <v>13</v>
      </c>
      <c r="R330" s="25">
        <v>15.5</v>
      </c>
      <c r="S330" s="25">
        <v>14</v>
      </c>
      <c r="T330" s="25">
        <v>25</v>
      </c>
      <c r="U330" s="26">
        <v>15</v>
      </c>
      <c r="V330" s="20">
        <v>159.5</v>
      </c>
    </row>
    <row r="331" spans="1:22" ht="43.8" thickBot="1">
      <c r="A331" s="14"/>
      <c r="B331" s="14" t="s">
        <v>397</v>
      </c>
      <c r="C331" s="15">
        <v>109865</v>
      </c>
      <c r="D331" s="15">
        <v>24122043</v>
      </c>
      <c r="E331" s="14" t="s">
        <v>398</v>
      </c>
      <c r="F331" s="16" t="s">
        <v>13</v>
      </c>
      <c r="G331" s="14" t="s">
        <v>40</v>
      </c>
      <c r="H331" s="14"/>
      <c r="I331" s="17">
        <v>10</v>
      </c>
      <c r="J331" s="17">
        <v>10</v>
      </c>
      <c r="K331" s="17">
        <v>10</v>
      </c>
      <c r="L331" s="17">
        <v>5</v>
      </c>
      <c r="M331" s="17">
        <v>10</v>
      </c>
      <c r="N331" s="18">
        <v>10</v>
      </c>
      <c r="O331" s="17">
        <v>2</v>
      </c>
      <c r="P331" s="17">
        <v>15</v>
      </c>
      <c r="Q331" s="17">
        <v>16</v>
      </c>
      <c r="R331" s="17">
        <v>15.5</v>
      </c>
      <c r="S331" s="17">
        <v>16</v>
      </c>
      <c r="T331" s="17">
        <v>25</v>
      </c>
      <c r="U331" s="18">
        <v>15</v>
      </c>
      <c r="V331" s="20">
        <v>159.5</v>
      </c>
    </row>
    <row r="332" spans="1:22" ht="43.8" thickBot="1">
      <c r="A332" s="23"/>
      <c r="B332" s="23" t="s">
        <v>533</v>
      </c>
      <c r="C332" s="22">
        <v>84045</v>
      </c>
      <c r="D332" s="22">
        <v>17494020</v>
      </c>
      <c r="E332" s="23" t="s">
        <v>534</v>
      </c>
      <c r="F332" s="24" t="s">
        <v>13</v>
      </c>
      <c r="G332" s="23" t="s">
        <v>14</v>
      </c>
      <c r="H332" s="21"/>
      <c r="I332" s="25">
        <v>5</v>
      </c>
      <c r="J332" s="25">
        <v>7</v>
      </c>
      <c r="K332" s="25">
        <v>5</v>
      </c>
      <c r="L332" s="25">
        <v>5</v>
      </c>
      <c r="M332" s="25">
        <v>10</v>
      </c>
      <c r="N332" s="26">
        <v>10</v>
      </c>
      <c r="O332" s="25">
        <v>14</v>
      </c>
      <c r="P332" s="25">
        <v>16</v>
      </c>
      <c r="Q332" s="25">
        <v>16</v>
      </c>
      <c r="R332" s="25">
        <v>15.5</v>
      </c>
      <c r="S332" s="25">
        <v>16</v>
      </c>
      <c r="T332" s="25">
        <v>25</v>
      </c>
      <c r="U332" s="26">
        <v>15</v>
      </c>
      <c r="V332" s="20">
        <v>159.5</v>
      </c>
    </row>
    <row r="333" spans="1:22" ht="43.8" thickBot="1">
      <c r="A333" s="14"/>
      <c r="B333" s="14" t="s">
        <v>453</v>
      </c>
      <c r="C333" s="15">
        <v>103465</v>
      </c>
      <c r="D333" s="15">
        <v>24011475</v>
      </c>
      <c r="E333" s="14" t="s">
        <v>454</v>
      </c>
      <c r="F333" s="16" t="s">
        <v>13</v>
      </c>
      <c r="G333" s="14" t="s">
        <v>40</v>
      </c>
      <c r="H333" s="14"/>
      <c r="I333" s="17">
        <v>5</v>
      </c>
      <c r="J333" s="17">
        <v>10</v>
      </c>
      <c r="K333" s="17">
        <v>10</v>
      </c>
      <c r="L333" s="17">
        <v>5</v>
      </c>
      <c r="M333" s="17">
        <v>5</v>
      </c>
      <c r="N333" s="18">
        <v>10</v>
      </c>
      <c r="O333" s="17">
        <v>16</v>
      </c>
      <c r="P333" s="17">
        <v>16</v>
      </c>
      <c r="Q333" s="17">
        <v>16</v>
      </c>
      <c r="R333" s="17">
        <v>15.5</v>
      </c>
      <c r="S333" s="17">
        <v>12</v>
      </c>
      <c r="T333" s="17">
        <v>25</v>
      </c>
      <c r="U333" s="18">
        <v>15</v>
      </c>
      <c r="V333" s="20">
        <v>160.5</v>
      </c>
    </row>
    <row r="334" spans="1:22" ht="43.8" thickBot="1">
      <c r="A334" s="23"/>
      <c r="B334" s="23" t="s">
        <v>507</v>
      </c>
      <c r="C334" s="22">
        <v>109579</v>
      </c>
      <c r="D334" s="22">
        <v>12211530</v>
      </c>
      <c r="E334" s="23" t="s">
        <v>508</v>
      </c>
      <c r="F334" s="24" t="s">
        <v>13</v>
      </c>
      <c r="G334" s="23" t="s">
        <v>14</v>
      </c>
      <c r="H334" s="21"/>
      <c r="I334" s="25">
        <v>10</v>
      </c>
      <c r="J334" s="25">
        <v>10</v>
      </c>
      <c r="K334" s="25">
        <v>5</v>
      </c>
      <c r="L334" s="25">
        <v>5</v>
      </c>
      <c r="M334" s="25">
        <v>5</v>
      </c>
      <c r="N334" s="26">
        <v>10</v>
      </c>
      <c r="O334" s="25">
        <v>12</v>
      </c>
      <c r="P334" s="25">
        <v>16</v>
      </c>
      <c r="Q334" s="25">
        <v>16</v>
      </c>
      <c r="R334" s="25">
        <v>15.5</v>
      </c>
      <c r="S334" s="25">
        <v>16</v>
      </c>
      <c r="T334" s="25">
        <v>25</v>
      </c>
      <c r="U334" s="26">
        <v>15</v>
      </c>
      <c r="V334" s="20">
        <v>160.5</v>
      </c>
    </row>
    <row r="335" spans="1:22" ht="43.8" thickBot="1">
      <c r="A335" s="14"/>
      <c r="B335" s="14" t="s">
        <v>245</v>
      </c>
      <c r="C335" s="15">
        <v>87853</v>
      </c>
      <c r="D335" s="15">
        <v>17550511</v>
      </c>
      <c r="E335" s="14" t="s">
        <v>246</v>
      </c>
      <c r="F335" s="16" t="s">
        <v>13</v>
      </c>
      <c r="G335" s="14" t="s">
        <v>20</v>
      </c>
      <c r="H335" s="14"/>
      <c r="I335" s="17">
        <v>10</v>
      </c>
      <c r="J335" s="17">
        <v>7</v>
      </c>
      <c r="K335" s="17">
        <v>10</v>
      </c>
      <c r="L335" s="17">
        <v>5</v>
      </c>
      <c r="M335" s="17">
        <v>10</v>
      </c>
      <c r="N335" s="18">
        <v>0</v>
      </c>
      <c r="O335" s="17">
        <v>16</v>
      </c>
      <c r="P335" s="17">
        <v>20</v>
      </c>
      <c r="Q335" s="17">
        <v>16</v>
      </c>
      <c r="R335" s="17">
        <v>10.5</v>
      </c>
      <c r="S335" s="17">
        <v>16</v>
      </c>
      <c r="T335" s="17">
        <v>25</v>
      </c>
      <c r="U335" s="18">
        <v>15</v>
      </c>
      <c r="V335" s="20">
        <v>160.5</v>
      </c>
    </row>
    <row r="336" spans="1:22" ht="43.8" thickBot="1">
      <c r="A336" s="23"/>
      <c r="B336" s="23" t="s">
        <v>359</v>
      </c>
      <c r="C336" s="22">
        <v>110936</v>
      </c>
      <c r="D336" s="22">
        <v>12704683</v>
      </c>
      <c r="E336" s="23" t="s">
        <v>360</v>
      </c>
      <c r="F336" s="24" t="s">
        <v>13</v>
      </c>
      <c r="G336" s="23" t="s">
        <v>17</v>
      </c>
      <c r="H336" s="21"/>
      <c r="I336" s="25">
        <v>10</v>
      </c>
      <c r="J336" s="25">
        <v>5</v>
      </c>
      <c r="K336" s="25">
        <v>10</v>
      </c>
      <c r="L336" s="25">
        <v>5</v>
      </c>
      <c r="M336" s="25">
        <v>5</v>
      </c>
      <c r="N336" s="26">
        <v>10</v>
      </c>
      <c r="O336" s="25">
        <v>16</v>
      </c>
      <c r="P336" s="25">
        <v>16</v>
      </c>
      <c r="Q336" s="25">
        <v>12</v>
      </c>
      <c r="R336" s="25">
        <v>16</v>
      </c>
      <c r="S336" s="25">
        <v>16</v>
      </c>
      <c r="T336" s="25">
        <v>25</v>
      </c>
      <c r="U336" s="26">
        <v>15</v>
      </c>
      <c r="V336" s="20">
        <v>161</v>
      </c>
    </row>
    <row r="337" spans="1:22" ht="43.8" thickBot="1">
      <c r="A337" s="14"/>
      <c r="B337" s="14" t="s">
        <v>127</v>
      </c>
      <c r="C337" s="15">
        <v>113500</v>
      </c>
      <c r="D337" s="15">
        <v>24176494</v>
      </c>
      <c r="E337" s="14" t="s">
        <v>128</v>
      </c>
      <c r="F337" s="16" t="s">
        <v>13</v>
      </c>
      <c r="G337" s="14" t="s">
        <v>17</v>
      </c>
      <c r="H337" s="14"/>
      <c r="I337" s="17">
        <v>10</v>
      </c>
      <c r="J337" s="17">
        <v>10</v>
      </c>
      <c r="K337" s="17">
        <v>10</v>
      </c>
      <c r="L337" s="17">
        <v>0</v>
      </c>
      <c r="M337" s="17">
        <v>10</v>
      </c>
      <c r="N337" s="18">
        <v>10</v>
      </c>
      <c r="O337" s="17">
        <v>16</v>
      </c>
      <c r="P337" s="17">
        <v>16</v>
      </c>
      <c r="Q337" s="17">
        <v>14</v>
      </c>
      <c r="R337" s="17">
        <v>15.5</v>
      </c>
      <c r="S337" s="17">
        <v>10</v>
      </c>
      <c r="T337" s="17">
        <v>25</v>
      </c>
      <c r="U337" s="18">
        <v>15</v>
      </c>
      <c r="V337" s="20">
        <v>161.5</v>
      </c>
    </row>
    <row r="338" spans="1:22" ht="43.8" thickBot="1">
      <c r="A338" s="23"/>
      <c r="B338" s="23" t="s">
        <v>549</v>
      </c>
      <c r="C338" s="22">
        <v>104093</v>
      </c>
      <c r="D338" s="22">
        <v>24035802</v>
      </c>
      <c r="E338" s="23" t="s">
        <v>550</v>
      </c>
      <c r="F338" s="24" t="s">
        <v>13</v>
      </c>
      <c r="G338" s="23" t="s">
        <v>27</v>
      </c>
      <c r="H338" s="21"/>
      <c r="I338" s="25">
        <v>5</v>
      </c>
      <c r="J338" s="25">
        <v>10</v>
      </c>
      <c r="K338" s="25">
        <v>10</v>
      </c>
      <c r="L338" s="25">
        <v>5</v>
      </c>
      <c r="M338" s="25">
        <v>5</v>
      </c>
      <c r="N338" s="26">
        <v>10</v>
      </c>
      <c r="O338" s="25">
        <v>16</v>
      </c>
      <c r="P338" s="25">
        <v>16</v>
      </c>
      <c r="Q338" s="25">
        <v>16</v>
      </c>
      <c r="R338" s="25">
        <v>16</v>
      </c>
      <c r="S338" s="25">
        <v>13</v>
      </c>
      <c r="T338" s="25">
        <v>25</v>
      </c>
      <c r="U338" s="26">
        <v>15</v>
      </c>
      <c r="V338" s="20">
        <v>162</v>
      </c>
    </row>
    <row r="339" spans="1:22" ht="43.8" thickBot="1">
      <c r="A339" s="14"/>
      <c r="B339" s="14" t="s">
        <v>463</v>
      </c>
      <c r="C339" s="15">
        <v>109959</v>
      </c>
      <c r="D339" s="15">
        <v>24122842</v>
      </c>
      <c r="E339" s="14" t="s">
        <v>464</v>
      </c>
      <c r="F339" s="16" t="s">
        <v>13</v>
      </c>
      <c r="G339" s="14" t="s">
        <v>20</v>
      </c>
      <c r="H339" s="14"/>
      <c r="I339" s="17">
        <v>10</v>
      </c>
      <c r="J339" s="17">
        <v>10</v>
      </c>
      <c r="K339" s="17">
        <v>10</v>
      </c>
      <c r="L339" s="17">
        <v>5</v>
      </c>
      <c r="M339" s="17">
        <v>0</v>
      </c>
      <c r="N339" s="18">
        <v>10</v>
      </c>
      <c r="O339" s="17">
        <v>16</v>
      </c>
      <c r="P339" s="17">
        <v>15</v>
      </c>
      <c r="Q339" s="17">
        <v>16</v>
      </c>
      <c r="R339" s="17">
        <v>14</v>
      </c>
      <c r="S339" s="17">
        <v>16</v>
      </c>
      <c r="T339" s="17">
        <v>25</v>
      </c>
      <c r="U339" s="18">
        <v>15</v>
      </c>
      <c r="V339" s="20">
        <v>162</v>
      </c>
    </row>
    <row r="340" spans="1:22" ht="43.8" thickBot="1">
      <c r="A340" s="23"/>
      <c r="B340" s="23" t="s">
        <v>311</v>
      </c>
      <c r="C340" s="22">
        <v>108268</v>
      </c>
      <c r="D340" s="22">
        <v>24096951</v>
      </c>
      <c r="E340" s="23" t="s">
        <v>312</v>
      </c>
      <c r="F340" s="24" t="s">
        <v>13</v>
      </c>
      <c r="G340" s="23" t="s">
        <v>20</v>
      </c>
      <c r="H340" s="21"/>
      <c r="I340" s="25">
        <v>5</v>
      </c>
      <c r="J340" s="25">
        <v>5</v>
      </c>
      <c r="K340" s="25">
        <v>10</v>
      </c>
      <c r="L340" s="25">
        <v>10</v>
      </c>
      <c r="M340" s="25">
        <v>5</v>
      </c>
      <c r="N340" s="26">
        <v>10</v>
      </c>
      <c r="O340" s="25">
        <v>16</v>
      </c>
      <c r="P340" s="25">
        <v>16</v>
      </c>
      <c r="Q340" s="25">
        <v>14</v>
      </c>
      <c r="R340" s="25">
        <v>15.5</v>
      </c>
      <c r="S340" s="25">
        <v>16</v>
      </c>
      <c r="T340" s="25">
        <v>25</v>
      </c>
      <c r="U340" s="26">
        <v>15</v>
      </c>
      <c r="V340" s="20">
        <v>162.5</v>
      </c>
    </row>
    <row r="341" spans="1:22" ht="43.8" thickBot="1">
      <c r="A341" s="14"/>
      <c r="B341" s="14" t="s">
        <v>34</v>
      </c>
      <c r="C341" s="15">
        <v>111075</v>
      </c>
      <c r="D341" s="15">
        <v>24142205</v>
      </c>
      <c r="E341" s="14" t="s">
        <v>35</v>
      </c>
      <c r="F341" s="16" t="s">
        <v>13</v>
      </c>
      <c r="G341" s="14" t="s">
        <v>27</v>
      </c>
      <c r="H341" s="14"/>
      <c r="I341" s="17">
        <v>10</v>
      </c>
      <c r="J341" s="17">
        <v>10</v>
      </c>
      <c r="K341" s="17">
        <v>10</v>
      </c>
      <c r="L341" s="17">
        <v>5</v>
      </c>
      <c r="M341" s="17">
        <v>5</v>
      </c>
      <c r="N341" s="18">
        <v>10</v>
      </c>
      <c r="O341" s="17">
        <v>16</v>
      </c>
      <c r="P341" s="17">
        <v>20</v>
      </c>
      <c r="Q341" s="17">
        <v>16</v>
      </c>
      <c r="R341" s="17">
        <v>16</v>
      </c>
      <c r="S341" s="17">
        <v>13</v>
      </c>
      <c r="T341" s="17">
        <v>25</v>
      </c>
      <c r="U341" s="18">
        <v>7</v>
      </c>
      <c r="V341" s="20">
        <v>163</v>
      </c>
    </row>
    <row r="342" spans="1:22" ht="43.8" thickBot="1">
      <c r="A342" s="23"/>
      <c r="B342" s="23" t="s">
        <v>393</v>
      </c>
      <c r="C342" s="22">
        <v>107528</v>
      </c>
      <c r="D342" s="22">
        <v>24084388</v>
      </c>
      <c r="E342" s="23" t="s">
        <v>394</v>
      </c>
      <c r="F342" s="24" t="s">
        <v>13</v>
      </c>
      <c r="G342" s="23" t="s">
        <v>20</v>
      </c>
      <c r="H342" s="21"/>
      <c r="I342" s="25">
        <v>7</v>
      </c>
      <c r="J342" s="25">
        <v>5</v>
      </c>
      <c r="K342" s="25">
        <v>10</v>
      </c>
      <c r="L342" s="25">
        <v>5</v>
      </c>
      <c r="M342" s="25">
        <v>10</v>
      </c>
      <c r="N342" s="26">
        <v>7</v>
      </c>
      <c r="O342" s="25">
        <v>16</v>
      </c>
      <c r="P342" s="25">
        <v>16</v>
      </c>
      <c r="Q342" s="25">
        <v>16</v>
      </c>
      <c r="R342" s="25">
        <v>16</v>
      </c>
      <c r="S342" s="25">
        <v>16</v>
      </c>
      <c r="T342" s="25">
        <v>25</v>
      </c>
      <c r="U342" s="26">
        <v>15</v>
      </c>
      <c r="V342" s="20">
        <v>164</v>
      </c>
    </row>
    <row r="343" spans="1:22" ht="43.8" thickBot="1">
      <c r="A343" s="14"/>
      <c r="B343" s="14" t="s">
        <v>395</v>
      </c>
      <c r="C343" s="15">
        <v>109616</v>
      </c>
      <c r="D343" s="15">
        <v>24119799</v>
      </c>
      <c r="E343" s="14" t="s">
        <v>396</v>
      </c>
      <c r="F343" s="16" t="s">
        <v>13</v>
      </c>
      <c r="G343" s="14" t="s">
        <v>17</v>
      </c>
      <c r="H343" s="14"/>
      <c r="I343" s="17">
        <v>10</v>
      </c>
      <c r="J343" s="17">
        <v>7</v>
      </c>
      <c r="K343" s="17">
        <v>10</v>
      </c>
      <c r="L343" s="17">
        <v>5</v>
      </c>
      <c r="M343" s="17">
        <v>5</v>
      </c>
      <c r="N343" s="18">
        <v>10</v>
      </c>
      <c r="O343" s="17">
        <v>14</v>
      </c>
      <c r="P343" s="17">
        <v>16</v>
      </c>
      <c r="Q343" s="17">
        <v>16</v>
      </c>
      <c r="R343" s="17">
        <v>15.5</v>
      </c>
      <c r="S343" s="17">
        <v>16</v>
      </c>
      <c r="T343" s="17">
        <v>25</v>
      </c>
      <c r="U343" s="18">
        <v>15</v>
      </c>
      <c r="V343" s="20">
        <v>164.5</v>
      </c>
    </row>
    <row r="344" spans="1:22" ht="43.8" thickBot="1">
      <c r="A344" s="23"/>
      <c r="B344" s="23" t="s">
        <v>573</v>
      </c>
      <c r="C344" s="22">
        <v>109647</v>
      </c>
      <c r="D344" s="22">
        <v>24119918</v>
      </c>
      <c r="E344" s="23" t="s">
        <v>574</v>
      </c>
      <c r="F344" s="24" t="s">
        <v>13</v>
      </c>
      <c r="G344" s="23" t="s">
        <v>27</v>
      </c>
      <c r="H344" s="21"/>
      <c r="I344" s="25">
        <v>10</v>
      </c>
      <c r="J344" s="25">
        <v>10</v>
      </c>
      <c r="K344" s="25">
        <v>10</v>
      </c>
      <c r="L344" s="25">
        <v>0</v>
      </c>
      <c r="M344" s="25">
        <v>5</v>
      </c>
      <c r="N344" s="26">
        <v>10</v>
      </c>
      <c r="O344" s="25">
        <v>16</v>
      </c>
      <c r="P344" s="25">
        <v>16</v>
      </c>
      <c r="Q344" s="25">
        <v>16</v>
      </c>
      <c r="R344" s="25">
        <v>16</v>
      </c>
      <c r="S344" s="25">
        <v>16</v>
      </c>
      <c r="T344" s="25">
        <v>25</v>
      </c>
      <c r="U344" s="26">
        <v>15</v>
      </c>
      <c r="V344" s="20">
        <v>165</v>
      </c>
    </row>
    <row r="345" spans="1:22" ht="43.8" thickBot="1">
      <c r="A345" s="14"/>
      <c r="B345" s="14" t="s">
        <v>541</v>
      </c>
      <c r="C345" s="15">
        <v>109702</v>
      </c>
      <c r="D345" s="15">
        <v>24119595</v>
      </c>
      <c r="E345" s="14" t="s">
        <v>542</v>
      </c>
      <c r="F345" s="16" t="s">
        <v>13</v>
      </c>
      <c r="G345" s="14" t="s">
        <v>40</v>
      </c>
      <c r="H345" s="14"/>
      <c r="I345" s="17">
        <v>10</v>
      </c>
      <c r="J345" s="17">
        <v>10</v>
      </c>
      <c r="K345" s="17">
        <v>10</v>
      </c>
      <c r="L345" s="17">
        <v>0</v>
      </c>
      <c r="M345" s="17">
        <v>10</v>
      </c>
      <c r="N345" s="18">
        <v>10</v>
      </c>
      <c r="O345" s="17">
        <v>16</v>
      </c>
      <c r="P345" s="17">
        <v>16</v>
      </c>
      <c r="Q345" s="17">
        <v>14</v>
      </c>
      <c r="R345" s="17">
        <v>13</v>
      </c>
      <c r="S345" s="17">
        <v>16</v>
      </c>
      <c r="T345" s="17">
        <v>25</v>
      </c>
      <c r="U345" s="18">
        <v>15</v>
      </c>
      <c r="V345" s="20">
        <v>165</v>
      </c>
    </row>
    <row r="346" spans="1:22" ht="43.8" thickBot="1">
      <c r="A346" s="23"/>
      <c r="B346" s="23" t="s">
        <v>557</v>
      </c>
      <c r="C346" s="22">
        <v>109967</v>
      </c>
      <c r="D346" s="22">
        <v>24122570</v>
      </c>
      <c r="E346" s="23" t="s">
        <v>558</v>
      </c>
      <c r="F346" s="24" t="s">
        <v>13</v>
      </c>
      <c r="G346" s="23" t="s">
        <v>27</v>
      </c>
      <c r="H346" s="21"/>
      <c r="I346" s="25">
        <v>10</v>
      </c>
      <c r="J346" s="25">
        <v>10</v>
      </c>
      <c r="K346" s="25">
        <v>10</v>
      </c>
      <c r="L346" s="25">
        <v>5</v>
      </c>
      <c r="M346" s="25">
        <v>10</v>
      </c>
      <c r="N346" s="26">
        <v>10</v>
      </c>
      <c r="O346" s="25">
        <v>16</v>
      </c>
      <c r="P346" s="25">
        <v>16</v>
      </c>
      <c r="Q346" s="25">
        <v>16</v>
      </c>
      <c r="R346" s="25">
        <v>15.5</v>
      </c>
      <c r="S346" s="25">
        <v>16</v>
      </c>
      <c r="T346" s="25">
        <v>25</v>
      </c>
      <c r="U346" s="26">
        <v>6</v>
      </c>
      <c r="V346" s="20">
        <v>165.5</v>
      </c>
    </row>
    <row r="347" spans="1:22" ht="43.8" thickBot="1">
      <c r="A347" s="14"/>
      <c r="B347" s="14" t="s">
        <v>279</v>
      </c>
      <c r="C347" s="15">
        <v>112206</v>
      </c>
      <c r="D347" s="15">
        <v>24158423</v>
      </c>
      <c r="E347" s="14" t="s">
        <v>280</v>
      </c>
      <c r="F347" s="16" t="s">
        <v>13</v>
      </c>
      <c r="G347" s="14" t="s">
        <v>17</v>
      </c>
      <c r="H347" s="14"/>
      <c r="I347" s="17">
        <v>5</v>
      </c>
      <c r="J347" s="17">
        <v>10</v>
      </c>
      <c r="K347" s="17">
        <v>10</v>
      </c>
      <c r="L347" s="17">
        <v>5</v>
      </c>
      <c r="M347" s="17">
        <v>5</v>
      </c>
      <c r="N347" s="18">
        <v>10</v>
      </c>
      <c r="O347" s="17">
        <v>16</v>
      </c>
      <c r="P347" s="17">
        <v>20</v>
      </c>
      <c r="Q347" s="17">
        <v>14</v>
      </c>
      <c r="R347" s="17">
        <v>15.5</v>
      </c>
      <c r="S347" s="17">
        <v>16</v>
      </c>
      <c r="T347" s="17">
        <v>25</v>
      </c>
      <c r="U347" s="18">
        <v>15</v>
      </c>
      <c r="V347" s="20">
        <v>166.5</v>
      </c>
    </row>
    <row r="348" spans="1:22" ht="43.8" thickBot="1">
      <c r="A348" s="23"/>
      <c r="B348" s="23" t="s">
        <v>659</v>
      </c>
      <c r="C348" s="22">
        <v>103075</v>
      </c>
      <c r="D348" s="22">
        <v>24037672</v>
      </c>
      <c r="E348" s="23" t="s">
        <v>660</v>
      </c>
      <c r="F348" s="24" t="s">
        <v>13</v>
      </c>
      <c r="G348" s="23" t="s">
        <v>27</v>
      </c>
      <c r="H348" s="21"/>
      <c r="I348" s="25">
        <v>10</v>
      </c>
      <c r="J348" s="25">
        <v>10</v>
      </c>
      <c r="K348" s="25">
        <v>10</v>
      </c>
      <c r="L348" s="25">
        <v>5</v>
      </c>
      <c r="M348" s="25">
        <v>10</v>
      </c>
      <c r="N348" s="26">
        <v>10</v>
      </c>
      <c r="O348" s="25">
        <v>11</v>
      </c>
      <c r="P348" s="25">
        <v>16</v>
      </c>
      <c r="Q348" s="25">
        <v>16</v>
      </c>
      <c r="R348" s="25">
        <v>13</v>
      </c>
      <c r="S348" s="25">
        <v>16</v>
      </c>
      <c r="T348" s="25">
        <v>25</v>
      </c>
      <c r="U348" s="26">
        <v>15</v>
      </c>
      <c r="V348" s="20">
        <v>167</v>
      </c>
    </row>
    <row r="349" spans="1:22" ht="43.8" thickBot="1">
      <c r="A349" s="14"/>
      <c r="B349" s="14" t="s">
        <v>223</v>
      </c>
      <c r="C349" s="15">
        <v>107944</v>
      </c>
      <c r="D349" s="15">
        <v>24092055</v>
      </c>
      <c r="E349" s="14" t="s">
        <v>224</v>
      </c>
      <c r="F349" s="16" t="s">
        <v>13</v>
      </c>
      <c r="G349" s="14" t="s">
        <v>20</v>
      </c>
      <c r="H349" s="14"/>
      <c r="I349" s="17">
        <v>10</v>
      </c>
      <c r="J349" s="17">
        <v>10</v>
      </c>
      <c r="K349" s="17">
        <v>10</v>
      </c>
      <c r="L349" s="17">
        <v>5</v>
      </c>
      <c r="M349" s="17">
        <v>10</v>
      </c>
      <c r="N349" s="18">
        <v>10</v>
      </c>
      <c r="O349" s="17">
        <v>16</v>
      </c>
      <c r="P349" s="17">
        <v>16</v>
      </c>
      <c r="Q349" s="17">
        <v>16</v>
      </c>
      <c r="R349" s="17">
        <v>16</v>
      </c>
      <c r="S349" s="17">
        <v>16</v>
      </c>
      <c r="T349" s="17">
        <v>25</v>
      </c>
      <c r="U349" s="18">
        <v>7</v>
      </c>
      <c r="V349" s="20">
        <v>167</v>
      </c>
    </row>
    <row r="350" spans="1:22" ht="43.8" thickBot="1">
      <c r="A350" s="23"/>
      <c r="B350" s="23" t="s">
        <v>371</v>
      </c>
      <c r="C350" s="22">
        <v>108462</v>
      </c>
      <c r="D350" s="22">
        <v>24099382</v>
      </c>
      <c r="E350" s="23" t="s">
        <v>372</v>
      </c>
      <c r="F350" s="24" t="s">
        <v>13</v>
      </c>
      <c r="G350" s="23" t="s">
        <v>17</v>
      </c>
      <c r="H350" s="21"/>
      <c r="I350" s="25">
        <v>5</v>
      </c>
      <c r="J350" s="25">
        <v>5</v>
      </c>
      <c r="K350" s="25">
        <v>10</v>
      </c>
      <c r="L350" s="25">
        <v>5</v>
      </c>
      <c r="M350" s="25">
        <v>10</v>
      </c>
      <c r="N350" s="26">
        <v>10</v>
      </c>
      <c r="O350" s="25">
        <v>16</v>
      </c>
      <c r="P350" s="25">
        <v>20</v>
      </c>
      <c r="Q350" s="25">
        <v>16</v>
      </c>
      <c r="R350" s="25">
        <v>16</v>
      </c>
      <c r="S350" s="25">
        <v>16</v>
      </c>
      <c r="T350" s="25">
        <v>25</v>
      </c>
      <c r="U350" s="26">
        <v>15</v>
      </c>
      <c r="V350" s="20">
        <v>169</v>
      </c>
    </row>
    <row r="351" spans="1:22" ht="43.8" thickBot="1">
      <c r="A351" s="14"/>
      <c r="B351" s="14" t="s">
        <v>719</v>
      </c>
      <c r="C351" s="15">
        <v>104366</v>
      </c>
      <c r="D351" s="15">
        <v>24037655</v>
      </c>
      <c r="E351" s="14" t="s">
        <v>720</v>
      </c>
      <c r="F351" s="16" t="s">
        <v>13</v>
      </c>
      <c r="G351" s="14" t="s">
        <v>27</v>
      </c>
      <c r="H351" s="14"/>
      <c r="I351" s="17">
        <v>5</v>
      </c>
      <c r="J351" s="17">
        <v>5</v>
      </c>
      <c r="K351" s="17">
        <v>10</v>
      </c>
      <c r="L351" s="17">
        <v>5</v>
      </c>
      <c r="M351" s="17">
        <v>10</v>
      </c>
      <c r="N351" s="18">
        <v>10</v>
      </c>
      <c r="O351" s="17">
        <v>16</v>
      </c>
      <c r="P351" s="17">
        <v>20</v>
      </c>
      <c r="Q351" s="17">
        <v>16</v>
      </c>
      <c r="R351" s="17">
        <v>16</v>
      </c>
      <c r="S351" s="17">
        <v>16</v>
      </c>
      <c r="T351" s="17">
        <v>25</v>
      </c>
      <c r="U351" s="18">
        <v>15</v>
      </c>
      <c r="V351" s="20">
        <v>169</v>
      </c>
    </row>
    <row r="352" spans="1:22" ht="43.8" thickBot="1">
      <c r="A352" s="23"/>
      <c r="B352" s="23" t="s">
        <v>599</v>
      </c>
      <c r="C352" s="22">
        <v>107958</v>
      </c>
      <c r="D352" s="22">
        <v>24092803</v>
      </c>
      <c r="E352" s="23" t="s">
        <v>600</v>
      </c>
      <c r="F352" s="24" t="s">
        <v>13</v>
      </c>
      <c r="G352" s="23" t="s">
        <v>40</v>
      </c>
      <c r="H352" s="21"/>
      <c r="I352" s="25">
        <v>0</v>
      </c>
      <c r="J352" s="25">
        <v>10</v>
      </c>
      <c r="K352" s="25">
        <v>10</v>
      </c>
      <c r="L352" s="25">
        <v>10</v>
      </c>
      <c r="M352" s="25">
        <v>10</v>
      </c>
      <c r="N352" s="26">
        <v>10</v>
      </c>
      <c r="O352" s="25">
        <v>16</v>
      </c>
      <c r="P352" s="25">
        <v>16</v>
      </c>
      <c r="Q352" s="25">
        <v>16</v>
      </c>
      <c r="R352" s="25">
        <v>15.5</v>
      </c>
      <c r="S352" s="25">
        <v>16</v>
      </c>
      <c r="T352" s="25">
        <v>25</v>
      </c>
      <c r="U352" s="26">
        <v>15</v>
      </c>
      <c r="V352" s="20">
        <v>169.5</v>
      </c>
    </row>
    <row r="353" spans="1:22" ht="43.8" thickBot="1">
      <c r="A353" s="14"/>
      <c r="B353" s="14" t="s">
        <v>365</v>
      </c>
      <c r="C353" s="15">
        <v>104121</v>
      </c>
      <c r="D353" s="15">
        <v>24036703</v>
      </c>
      <c r="E353" s="14" t="s">
        <v>366</v>
      </c>
      <c r="F353" s="16" t="s">
        <v>13</v>
      </c>
      <c r="G353" s="14" t="s">
        <v>20</v>
      </c>
      <c r="H353" s="14"/>
      <c r="I353" s="17">
        <v>10</v>
      </c>
      <c r="J353" s="17">
        <v>5</v>
      </c>
      <c r="K353" s="17">
        <v>10</v>
      </c>
      <c r="L353" s="17">
        <v>5</v>
      </c>
      <c r="M353" s="17">
        <v>10</v>
      </c>
      <c r="N353" s="18">
        <v>10</v>
      </c>
      <c r="O353" s="17">
        <v>16</v>
      </c>
      <c r="P353" s="17">
        <v>16</v>
      </c>
      <c r="Q353" s="17">
        <v>16</v>
      </c>
      <c r="R353" s="17">
        <v>16</v>
      </c>
      <c r="S353" s="17">
        <v>16</v>
      </c>
      <c r="T353" s="17">
        <v>25</v>
      </c>
      <c r="U353" s="18">
        <v>15</v>
      </c>
      <c r="V353" s="20">
        <v>170</v>
      </c>
    </row>
    <row r="354" spans="1:22" ht="43.8" thickBot="1">
      <c r="A354" s="23"/>
      <c r="B354" s="23" t="s">
        <v>53</v>
      </c>
      <c r="C354" s="22">
        <v>107175</v>
      </c>
      <c r="D354" s="22">
        <v>24079577</v>
      </c>
      <c r="E354" s="23" t="s">
        <v>54</v>
      </c>
      <c r="F354" s="24" t="s">
        <v>13</v>
      </c>
      <c r="G354" s="23" t="s">
        <v>14</v>
      </c>
      <c r="H354" s="21"/>
      <c r="I354" s="25">
        <v>10</v>
      </c>
      <c r="J354" s="25">
        <v>10</v>
      </c>
      <c r="K354" s="25">
        <v>10</v>
      </c>
      <c r="L354" s="25">
        <v>10</v>
      </c>
      <c r="M354" s="25">
        <v>10</v>
      </c>
      <c r="N354" s="26">
        <v>10</v>
      </c>
      <c r="O354" s="25">
        <v>16</v>
      </c>
      <c r="P354" s="25">
        <v>13</v>
      </c>
      <c r="Q354" s="25">
        <v>16</v>
      </c>
      <c r="R354" s="25">
        <v>15.5</v>
      </c>
      <c r="S354" s="25">
        <v>16</v>
      </c>
      <c r="T354" s="25">
        <v>25</v>
      </c>
      <c r="U354" s="26">
        <v>9</v>
      </c>
      <c r="V354" s="20">
        <v>170.5</v>
      </c>
    </row>
    <row r="355" spans="1:22" ht="43.8" thickBot="1">
      <c r="A355" s="14"/>
      <c r="B355" s="14" t="s">
        <v>355</v>
      </c>
      <c r="C355" s="15">
        <v>103915</v>
      </c>
      <c r="D355" s="15">
        <v>24035632</v>
      </c>
      <c r="E355" s="14" t="s">
        <v>356</v>
      </c>
      <c r="F355" s="16" t="s">
        <v>13</v>
      </c>
      <c r="G355" s="14" t="s">
        <v>17</v>
      </c>
      <c r="H355" s="14"/>
      <c r="I355" s="17">
        <v>10</v>
      </c>
      <c r="J355" s="17">
        <v>10</v>
      </c>
      <c r="K355" s="17">
        <v>10</v>
      </c>
      <c r="L355" s="17">
        <v>5</v>
      </c>
      <c r="M355" s="17">
        <v>5</v>
      </c>
      <c r="N355" s="18">
        <v>10</v>
      </c>
      <c r="O355" s="17">
        <v>16</v>
      </c>
      <c r="P355" s="17">
        <v>19</v>
      </c>
      <c r="Q355" s="17">
        <v>16</v>
      </c>
      <c r="R355" s="17">
        <v>14</v>
      </c>
      <c r="S355" s="17">
        <v>16</v>
      </c>
      <c r="T355" s="17">
        <v>25</v>
      </c>
      <c r="U355" s="18">
        <v>15</v>
      </c>
      <c r="V355" s="20">
        <v>171</v>
      </c>
    </row>
    <row r="356" spans="1:22" ht="58.2" thickBot="1">
      <c r="A356" s="23"/>
      <c r="B356" s="23" t="s">
        <v>603</v>
      </c>
      <c r="C356" s="22">
        <v>109752</v>
      </c>
      <c r="D356" s="22">
        <v>24119816</v>
      </c>
      <c r="E356" s="23" t="s">
        <v>604</v>
      </c>
      <c r="F356" s="24" t="s">
        <v>13</v>
      </c>
      <c r="G356" s="23" t="s">
        <v>27</v>
      </c>
      <c r="H356" s="21"/>
      <c r="I356" s="25">
        <v>10</v>
      </c>
      <c r="J356" s="25">
        <v>10</v>
      </c>
      <c r="K356" s="25">
        <v>10</v>
      </c>
      <c r="L356" s="25">
        <v>5</v>
      </c>
      <c r="M356" s="25">
        <v>10</v>
      </c>
      <c r="N356" s="26">
        <v>10</v>
      </c>
      <c r="O356" s="25">
        <v>15</v>
      </c>
      <c r="P356" s="25">
        <v>16</v>
      </c>
      <c r="Q356" s="25">
        <v>16</v>
      </c>
      <c r="R356" s="25">
        <v>13</v>
      </c>
      <c r="S356" s="25">
        <v>16</v>
      </c>
      <c r="T356" s="25">
        <v>25</v>
      </c>
      <c r="U356" s="26">
        <v>15</v>
      </c>
      <c r="V356" s="20">
        <v>171</v>
      </c>
    </row>
    <row r="357" spans="1:22" ht="43.8" thickBot="1">
      <c r="A357" s="14"/>
      <c r="B357" s="14" t="s">
        <v>271</v>
      </c>
      <c r="C357" s="15">
        <v>24357</v>
      </c>
      <c r="D357" s="15">
        <v>17136119</v>
      </c>
      <c r="E357" s="14" t="s">
        <v>272</v>
      </c>
      <c r="F357" s="16" t="s">
        <v>13</v>
      </c>
      <c r="G357" s="14" t="s">
        <v>14</v>
      </c>
      <c r="H357" s="14"/>
      <c r="I357" s="17">
        <v>10</v>
      </c>
      <c r="J357" s="17">
        <v>10</v>
      </c>
      <c r="K357" s="17">
        <v>10</v>
      </c>
      <c r="L357" s="17">
        <v>5</v>
      </c>
      <c r="M357" s="17">
        <v>10</v>
      </c>
      <c r="N357" s="18">
        <v>10</v>
      </c>
      <c r="O357" s="17">
        <v>16</v>
      </c>
      <c r="P357" s="17">
        <v>20</v>
      </c>
      <c r="Q357" s="17">
        <v>16</v>
      </c>
      <c r="R357" s="17">
        <v>16</v>
      </c>
      <c r="S357" s="17">
        <v>8</v>
      </c>
      <c r="T357" s="17">
        <v>25</v>
      </c>
      <c r="U357" s="18">
        <v>15</v>
      </c>
      <c r="V357" s="20">
        <v>171</v>
      </c>
    </row>
    <row r="358" spans="1:22" ht="43.8" thickBot="1">
      <c r="A358" s="23"/>
      <c r="B358" s="23" t="s">
        <v>669</v>
      </c>
      <c r="C358" s="22">
        <v>13022</v>
      </c>
      <c r="D358" s="22">
        <v>17137904</v>
      </c>
      <c r="E358" s="23" t="s">
        <v>670</v>
      </c>
      <c r="F358" s="24" t="s">
        <v>13</v>
      </c>
      <c r="G358" s="23" t="s">
        <v>14</v>
      </c>
      <c r="H358" s="21"/>
      <c r="I358" s="25">
        <v>10</v>
      </c>
      <c r="J358" s="25">
        <v>10</v>
      </c>
      <c r="K358" s="25">
        <v>10</v>
      </c>
      <c r="L358" s="25">
        <v>10</v>
      </c>
      <c r="M358" s="25">
        <v>10</v>
      </c>
      <c r="N358" s="26">
        <v>10</v>
      </c>
      <c r="O358" s="25">
        <v>16</v>
      </c>
      <c r="P358" s="25">
        <v>16</v>
      </c>
      <c r="Q358" s="25">
        <v>14</v>
      </c>
      <c r="R358" s="25">
        <v>12.5</v>
      </c>
      <c r="S358" s="25">
        <v>16</v>
      </c>
      <c r="T358" s="25">
        <v>25</v>
      </c>
      <c r="U358" s="26">
        <v>15</v>
      </c>
      <c r="V358" s="20">
        <v>174.5</v>
      </c>
    </row>
    <row r="359" spans="1:22" ht="43.8" thickBot="1">
      <c r="A359" s="14"/>
      <c r="B359" s="14" t="s">
        <v>729</v>
      </c>
      <c r="C359" s="15">
        <v>109124</v>
      </c>
      <c r="D359" s="15">
        <v>24111010</v>
      </c>
      <c r="E359" s="14" t="s">
        <v>730</v>
      </c>
      <c r="F359" s="16" t="s">
        <v>13</v>
      </c>
      <c r="G359" s="14" t="s">
        <v>20</v>
      </c>
      <c r="H359" s="14"/>
      <c r="I359" s="17">
        <v>5</v>
      </c>
      <c r="J359" s="17">
        <v>10</v>
      </c>
      <c r="K359" s="17">
        <v>10</v>
      </c>
      <c r="L359" s="17">
        <v>10</v>
      </c>
      <c r="M359" s="17">
        <v>10</v>
      </c>
      <c r="N359" s="18">
        <v>10</v>
      </c>
      <c r="O359" s="17">
        <v>16</v>
      </c>
      <c r="P359" s="17">
        <v>18</v>
      </c>
      <c r="Q359" s="17">
        <v>16</v>
      </c>
      <c r="R359" s="17">
        <v>15.5</v>
      </c>
      <c r="S359" s="17">
        <v>16</v>
      </c>
      <c r="T359" s="17">
        <v>25</v>
      </c>
      <c r="U359" s="18">
        <v>15</v>
      </c>
      <c r="V359" s="20">
        <v>176.5</v>
      </c>
    </row>
    <row r="360" spans="1:22" ht="27.6" thickBot="1">
      <c r="A360" s="21"/>
      <c r="B360" s="21" t="s">
        <v>0</v>
      </c>
      <c r="C360" s="21" t="s">
        <v>1</v>
      </c>
      <c r="D360" s="21" t="s">
        <v>2</v>
      </c>
      <c r="E360" s="21" t="s">
        <v>3</v>
      </c>
      <c r="F360" s="21" t="s">
        <v>4</v>
      </c>
      <c r="G360" s="21" t="s">
        <v>5</v>
      </c>
      <c r="H360" s="29" t="s">
        <v>739</v>
      </c>
      <c r="I360" s="29" t="s">
        <v>740</v>
      </c>
      <c r="J360" s="29" t="s">
        <v>741</v>
      </c>
      <c r="K360" s="29" t="s">
        <v>742</v>
      </c>
      <c r="L360" s="29" t="s">
        <v>743</v>
      </c>
      <c r="M360" s="29" t="s">
        <v>744</v>
      </c>
      <c r="N360" s="30" t="s">
        <v>745</v>
      </c>
      <c r="O360" s="29" t="s">
        <v>746</v>
      </c>
      <c r="P360" s="29" t="s">
        <v>747</v>
      </c>
      <c r="Q360" s="29" t="s">
        <v>748</v>
      </c>
      <c r="R360" s="29" t="s">
        <v>749</v>
      </c>
      <c r="S360" s="29" t="s">
        <v>750</v>
      </c>
      <c r="T360" s="29" t="s">
        <v>751</v>
      </c>
      <c r="U360" s="30" t="s">
        <v>752</v>
      </c>
      <c r="V360" s="31">
        <v>-180</v>
      </c>
    </row>
    <row r="361" spans="1:22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32"/>
      <c r="O361" s="1"/>
      <c r="P361" s="1"/>
      <c r="Q361" s="1"/>
      <c r="R361" s="1"/>
      <c r="S361" s="1"/>
      <c r="T361" s="1"/>
      <c r="U361" s="32"/>
      <c r="V361" s="1"/>
    </row>
    <row r="362" spans="1:22" ht="15" thickBot="1">
      <c r="A362" s="1"/>
      <c r="B362" s="33">
        <v>335</v>
      </c>
      <c r="C362" s="33">
        <v>335</v>
      </c>
      <c r="D362" s="33">
        <v>335</v>
      </c>
      <c r="E362" s="33">
        <v>335</v>
      </c>
      <c r="F362" s="33">
        <v>335</v>
      </c>
      <c r="G362" s="1"/>
      <c r="H362" s="33">
        <v>23</v>
      </c>
      <c r="I362" s="33">
        <v>332</v>
      </c>
      <c r="J362" s="33">
        <v>332</v>
      </c>
      <c r="K362" s="33">
        <v>332</v>
      </c>
      <c r="L362" s="33">
        <v>332</v>
      </c>
      <c r="M362" s="33">
        <v>332</v>
      </c>
      <c r="N362" s="33">
        <v>332</v>
      </c>
      <c r="O362" s="33">
        <v>332</v>
      </c>
      <c r="P362" s="33">
        <v>332</v>
      </c>
      <c r="Q362" s="33">
        <v>332</v>
      </c>
      <c r="R362" s="33">
        <v>332</v>
      </c>
      <c r="S362" s="33">
        <v>332</v>
      </c>
      <c r="T362" s="33">
        <v>332</v>
      </c>
      <c r="U362" s="34">
        <v>332</v>
      </c>
      <c r="V362" s="33">
        <v>129.77190329999999</v>
      </c>
    </row>
    <row r="363" spans="1:22" ht="15" thickBot="1">
      <c r="A363" s="1"/>
      <c r="B363" s="1"/>
      <c r="C363" s="1"/>
      <c r="D363" s="1"/>
      <c r="E363" s="1"/>
      <c r="F363" s="1"/>
      <c r="G363" s="1"/>
      <c r="H363" s="1"/>
      <c r="I363" s="35">
        <v>0.99</v>
      </c>
      <c r="J363" s="35">
        <v>0.99</v>
      </c>
      <c r="K363" s="35">
        <v>0.99</v>
      </c>
      <c r="L363" s="35">
        <v>0.99</v>
      </c>
      <c r="M363" s="35">
        <v>0.99</v>
      </c>
      <c r="N363" s="35">
        <v>0.99</v>
      </c>
      <c r="O363" s="35">
        <v>0.99</v>
      </c>
      <c r="P363" s="35">
        <v>0.99</v>
      </c>
      <c r="Q363" s="35">
        <v>0.99</v>
      </c>
      <c r="R363" s="35">
        <v>0.99</v>
      </c>
      <c r="S363" s="35">
        <v>0.99</v>
      </c>
      <c r="T363" s="35">
        <v>0.99</v>
      </c>
      <c r="U363" s="36">
        <v>0.99</v>
      </c>
      <c r="V363" s="33">
        <v>24.540537189999998</v>
      </c>
    </row>
    <row r="364" spans="1:22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32"/>
      <c r="O364" s="1"/>
      <c r="P364" s="1"/>
      <c r="Q364" s="1"/>
      <c r="R364" s="1"/>
      <c r="S364" s="1"/>
      <c r="T364" s="1"/>
      <c r="U364" s="32"/>
      <c r="V364" s="1"/>
    </row>
    <row r="365" spans="1:22" ht="15" thickBot="1">
      <c r="A365" s="1"/>
      <c r="B365" s="1"/>
      <c r="C365" s="1"/>
      <c r="D365" s="1"/>
      <c r="E365" s="1"/>
      <c r="F365" s="1"/>
      <c r="G365" s="1"/>
      <c r="H365" s="1"/>
      <c r="I365" s="1">
        <f t="shared" ref="I365:U365" si="0">AVERAGE(I29:I359)</f>
        <v>7.2265861027190335</v>
      </c>
      <c r="J365" s="1">
        <f t="shared" si="0"/>
        <v>6.0664652567975832</v>
      </c>
      <c r="K365" s="1">
        <f t="shared" si="0"/>
        <v>6.4954682779456192</v>
      </c>
      <c r="L365" s="1">
        <f t="shared" si="0"/>
        <v>4.6072507552870094</v>
      </c>
      <c r="M365" s="1">
        <f t="shared" si="0"/>
        <v>5.8308157099697882</v>
      </c>
      <c r="N365" s="1">
        <f t="shared" si="0"/>
        <v>7.1238670694864048</v>
      </c>
      <c r="O365" s="1">
        <f t="shared" si="0"/>
        <v>10.217522658610273</v>
      </c>
      <c r="P365" s="1">
        <f t="shared" si="0"/>
        <v>14.719033232628398</v>
      </c>
      <c r="Q365" s="1">
        <f t="shared" si="0"/>
        <v>14.873111782477341</v>
      </c>
      <c r="R365" s="1">
        <f t="shared" si="0"/>
        <v>12.31570996978852</v>
      </c>
      <c r="S365" s="1">
        <f t="shared" si="0"/>
        <v>11.543806646525679</v>
      </c>
      <c r="T365" s="1">
        <f t="shared" si="0"/>
        <v>21.093655589123866</v>
      </c>
      <c r="U365" s="1">
        <f t="shared" si="0"/>
        <v>7.6586102719033233</v>
      </c>
      <c r="V365" s="1"/>
    </row>
    <row r="366" spans="1:22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32"/>
      <c r="O366" s="1"/>
      <c r="P366" s="1"/>
      <c r="Q366" s="1"/>
      <c r="R366" s="1"/>
      <c r="S366" s="1"/>
      <c r="T366" s="1"/>
      <c r="U366" s="32"/>
      <c r="V366" s="1"/>
    </row>
    <row r="367" spans="1:22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32"/>
      <c r="O367" s="1"/>
      <c r="P367" s="1"/>
      <c r="Q367" s="1"/>
      <c r="R367" s="1"/>
      <c r="S367" s="1"/>
      <c r="T367" s="1"/>
      <c r="U367" s="32"/>
      <c r="V367" s="1"/>
    </row>
    <row r="368" spans="1:22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32"/>
      <c r="O368" s="1"/>
      <c r="P368" s="1"/>
      <c r="Q368" s="1"/>
      <c r="R368" s="1"/>
      <c r="S368" s="1"/>
      <c r="T368" s="1"/>
      <c r="U368" s="32"/>
      <c r="V368" s="1"/>
    </row>
    <row r="369" spans="1:22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32"/>
      <c r="O369" s="1"/>
      <c r="P369" s="1"/>
      <c r="Q369" s="1"/>
      <c r="R369" s="1"/>
      <c r="S369" s="1"/>
      <c r="T369" s="1"/>
      <c r="U369" s="32"/>
      <c r="V369" s="1"/>
    </row>
    <row r="370" spans="1:22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32"/>
      <c r="O370" s="1"/>
      <c r="P370" s="1"/>
      <c r="Q370" s="1"/>
      <c r="R370" s="1"/>
      <c r="S370" s="1"/>
      <c r="T370" s="1"/>
      <c r="U370" s="32"/>
      <c r="V370" s="1"/>
    </row>
    <row r="371" spans="1:22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32"/>
      <c r="O371" s="1"/>
      <c r="P371" s="1"/>
      <c r="Q371" s="1"/>
      <c r="R371" s="1"/>
      <c r="S371" s="1"/>
      <c r="T371" s="1"/>
      <c r="U371" s="32"/>
      <c r="V371" s="1"/>
    </row>
    <row r="372" spans="1:22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32"/>
      <c r="O372" s="1"/>
      <c r="P372" s="1"/>
      <c r="Q372" s="1"/>
      <c r="R372" s="1"/>
      <c r="S372" s="1"/>
      <c r="T372" s="1"/>
      <c r="U372" s="32"/>
      <c r="V372" s="1"/>
    </row>
    <row r="373" spans="1:22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32"/>
      <c r="O373" s="1"/>
      <c r="P373" s="1"/>
      <c r="Q373" s="1"/>
      <c r="R373" s="1"/>
      <c r="S373" s="1"/>
      <c r="T373" s="1"/>
      <c r="U373" s="32"/>
      <c r="V373" s="1"/>
    </row>
    <row r="374" spans="1:22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32"/>
      <c r="O374" s="1"/>
      <c r="P374" s="1"/>
      <c r="Q374" s="1"/>
      <c r="R374" s="1"/>
      <c r="S374" s="1"/>
      <c r="T374" s="1"/>
      <c r="U374" s="32"/>
      <c r="V374" s="1"/>
    </row>
    <row r="375" spans="1:22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32"/>
      <c r="O375" s="1"/>
      <c r="P375" s="1"/>
      <c r="Q375" s="1"/>
      <c r="R375" s="1"/>
      <c r="S375" s="1"/>
      <c r="T375" s="1"/>
      <c r="U375" s="32"/>
      <c r="V375" s="1"/>
    </row>
    <row r="376" spans="1:22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32"/>
      <c r="O376" s="1"/>
      <c r="P376" s="1"/>
      <c r="Q376" s="1"/>
      <c r="R376" s="1"/>
      <c r="S376" s="1"/>
      <c r="T376" s="1"/>
      <c r="U376" s="32"/>
      <c r="V376" s="1"/>
    </row>
    <row r="377" spans="1:22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32"/>
      <c r="O377" s="1"/>
      <c r="P377" s="1"/>
      <c r="Q377" s="1"/>
      <c r="R377" s="1"/>
      <c r="S377" s="1"/>
      <c r="T377" s="1"/>
      <c r="U377" s="32"/>
      <c r="V377" s="1"/>
    </row>
    <row r="378" spans="1:22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32"/>
      <c r="O378" s="1"/>
      <c r="P378" s="1"/>
      <c r="Q378" s="1"/>
      <c r="R378" s="1"/>
      <c r="S378" s="1"/>
      <c r="T378" s="1"/>
      <c r="U378" s="32"/>
      <c r="V378" s="1"/>
    </row>
    <row r="379" spans="1:22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32"/>
      <c r="O379" s="1"/>
      <c r="P379" s="1"/>
      <c r="Q379" s="1"/>
      <c r="R379" s="1"/>
      <c r="S379" s="1"/>
      <c r="T379" s="1"/>
      <c r="U379" s="32"/>
      <c r="V379" s="1"/>
    </row>
    <row r="380" spans="1:22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32"/>
      <c r="O380" s="1"/>
      <c r="P380" s="1"/>
      <c r="Q380" s="1"/>
      <c r="R380" s="1"/>
      <c r="S380" s="1"/>
      <c r="T380" s="1"/>
      <c r="U380" s="32"/>
      <c r="V380" s="1"/>
    </row>
    <row r="381" spans="1:22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32"/>
      <c r="O381" s="1"/>
      <c r="P381" s="1"/>
      <c r="Q381" s="1"/>
      <c r="R381" s="1"/>
      <c r="S381" s="1"/>
      <c r="T381" s="1"/>
      <c r="U381" s="32"/>
      <c r="V381" s="1"/>
    </row>
    <row r="382" spans="1:22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32"/>
      <c r="O382" s="1"/>
      <c r="P382" s="1"/>
      <c r="Q382" s="1"/>
      <c r="R382" s="1"/>
      <c r="S382" s="1"/>
      <c r="T382" s="1"/>
      <c r="U382" s="32"/>
      <c r="V382" s="1"/>
    </row>
    <row r="383" spans="1:22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32"/>
      <c r="O383" s="1"/>
      <c r="P383" s="1"/>
      <c r="Q383" s="1"/>
      <c r="R383" s="1"/>
      <c r="S383" s="1"/>
      <c r="T383" s="1"/>
      <c r="U383" s="32"/>
      <c r="V383" s="1"/>
    </row>
    <row r="384" spans="1:22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32"/>
      <c r="O384" s="1"/>
      <c r="P384" s="1"/>
      <c r="Q384" s="1"/>
      <c r="R384" s="1"/>
      <c r="S384" s="1"/>
      <c r="T384" s="1"/>
      <c r="U384" s="32"/>
      <c r="V384" s="1"/>
    </row>
    <row r="385" spans="1:22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32"/>
      <c r="O385" s="1"/>
      <c r="P385" s="1"/>
      <c r="Q385" s="1"/>
      <c r="R385" s="1"/>
      <c r="S385" s="1"/>
      <c r="T385" s="1"/>
      <c r="U385" s="32"/>
      <c r="V385" s="1"/>
    </row>
    <row r="386" spans="1:22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32"/>
      <c r="O386" s="1"/>
      <c r="P386" s="1"/>
      <c r="Q386" s="1"/>
      <c r="R386" s="1"/>
      <c r="S386" s="1"/>
      <c r="T386" s="1"/>
      <c r="U386" s="32"/>
      <c r="V386" s="1"/>
    </row>
    <row r="387" spans="1:22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32"/>
      <c r="O387" s="1"/>
      <c r="P387" s="1"/>
      <c r="Q387" s="1"/>
      <c r="R387" s="1"/>
      <c r="S387" s="1"/>
      <c r="T387" s="1"/>
      <c r="U387" s="32"/>
      <c r="V387" s="1"/>
    </row>
    <row r="388" spans="1:22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32"/>
      <c r="O388" s="1"/>
      <c r="P388" s="1"/>
      <c r="Q388" s="1"/>
      <c r="R388" s="1"/>
      <c r="S388" s="1"/>
      <c r="T388" s="1"/>
      <c r="U388" s="32"/>
      <c r="V388" s="1"/>
    </row>
    <row r="389" spans="1:22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32"/>
      <c r="O389" s="1"/>
      <c r="P389" s="1"/>
      <c r="Q389" s="1"/>
      <c r="R389" s="1"/>
      <c r="S389" s="1"/>
      <c r="T389" s="1"/>
      <c r="U389" s="32"/>
      <c r="V389" s="1"/>
    </row>
    <row r="390" spans="1:22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32"/>
      <c r="O390" s="1"/>
      <c r="P390" s="1"/>
      <c r="Q390" s="1"/>
      <c r="R390" s="1"/>
      <c r="S390" s="1"/>
      <c r="T390" s="1"/>
      <c r="U390" s="32"/>
      <c r="V390" s="1"/>
    </row>
    <row r="391" spans="1:22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32"/>
      <c r="O391" s="1"/>
      <c r="P391" s="1"/>
      <c r="Q391" s="1"/>
      <c r="R391" s="1"/>
      <c r="S391" s="1"/>
      <c r="T391" s="1"/>
      <c r="U391" s="32"/>
      <c r="V391" s="1"/>
    </row>
    <row r="392" spans="1:22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32"/>
      <c r="O392" s="1"/>
      <c r="P392" s="1"/>
      <c r="Q392" s="1"/>
      <c r="R392" s="1"/>
      <c r="S392" s="1"/>
      <c r="T392" s="1"/>
      <c r="U392" s="32"/>
      <c r="V392" s="1"/>
    </row>
    <row r="393" spans="1:22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32"/>
      <c r="O393" s="1"/>
      <c r="P393" s="1"/>
      <c r="Q393" s="1"/>
      <c r="R393" s="1"/>
      <c r="S393" s="1"/>
      <c r="T393" s="1"/>
      <c r="U393" s="32"/>
      <c r="V393" s="1"/>
    </row>
    <row r="394" spans="1:22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32"/>
      <c r="O394" s="1"/>
      <c r="P394" s="1"/>
      <c r="Q394" s="1"/>
      <c r="R394" s="1"/>
      <c r="S394" s="1"/>
      <c r="T394" s="1"/>
      <c r="U394" s="32"/>
      <c r="V394" s="1"/>
    </row>
    <row r="395" spans="1:22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32"/>
      <c r="O395" s="1"/>
      <c r="P395" s="1"/>
      <c r="Q395" s="1"/>
      <c r="R395" s="1"/>
      <c r="S395" s="1"/>
      <c r="T395" s="1"/>
      <c r="U395" s="32"/>
      <c r="V395" s="1"/>
    </row>
    <row r="396" spans="1:22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32"/>
      <c r="O396" s="1"/>
      <c r="P396" s="1"/>
      <c r="Q396" s="1"/>
      <c r="R396" s="1"/>
      <c r="S396" s="1"/>
      <c r="T396" s="1"/>
      <c r="U396" s="32"/>
      <c r="V396" s="1"/>
    </row>
    <row r="397" spans="1:22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32"/>
      <c r="O397" s="1"/>
      <c r="P397" s="1"/>
      <c r="Q397" s="1"/>
      <c r="R397" s="1"/>
      <c r="S397" s="1"/>
      <c r="T397" s="1"/>
      <c r="U397" s="32"/>
      <c r="V397" s="1"/>
    </row>
    <row r="398" spans="1:22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32"/>
      <c r="O398" s="1"/>
      <c r="P398" s="1"/>
      <c r="Q398" s="1"/>
      <c r="R398" s="1"/>
      <c r="S398" s="1"/>
      <c r="T398" s="1"/>
      <c r="U398" s="32"/>
      <c r="V398" s="1"/>
    </row>
    <row r="399" spans="1:22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32"/>
      <c r="O399" s="1"/>
      <c r="P399" s="1"/>
      <c r="Q399" s="1"/>
      <c r="R399" s="1"/>
      <c r="S399" s="1"/>
      <c r="T399" s="1"/>
      <c r="U399" s="32"/>
      <c r="V399" s="1"/>
    </row>
    <row r="400" spans="1:22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32"/>
      <c r="O400" s="1"/>
      <c r="P400" s="1"/>
      <c r="Q400" s="1"/>
      <c r="R400" s="1"/>
      <c r="S400" s="1"/>
      <c r="T400" s="1"/>
      <c r="U400" s="32"/>
      <c r="V400" s="1"/>
    </row>
    <row r="401" spans="1:22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32"/>
      <c r="O401" s="1"/>
      <c r="P401" s="1"/>
      <c r="Q401" s="1"/>
      <c r="R401" s="1"/>
      <c r="S401" s="1"/>
      <c r="T401" s="1"/>
      <c r="U401" s="32"/>
      <c r="V401" s="1"/>
    </row>
    <row r="402" spans="1:22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32"/>
      <c r="O402" s="1"/>
      <c r="P402" s="1"/>
      <c r="Q402" s="1"/>
      <c r="R402" s="1"/>
      <c r="S402" s="1"/>
      <c r="T402" s="1"/>
      <c r="U402" s="32"/>
      <c r="V402" s="1"/>
    </row>
    <row r="403" spans="1:22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32"/>
      <c r="O403" s="1"/>
      <c r="P403" s="1"/>
      <c r="Q403" s="1"/>
      <c r="R403" s="1"/>
      <c r="S403" s="1"/>
      <c r="T403" s="1"/>
      <c r="U403" s="32"/>
      <c r="V403" s="1"/>
    </row>
    <row r="404" spans="1:22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32"/>
      <c r="O404" s="1"/>
      <c r="P404" s="1"/>
      <c r="Q404" s="1"/>
      <c r="R404" s="1"/>
      <c r="S404" s="1"/>
      <c r="T404" s="1"/>
      <c r="U404" s="32"/>
      <c r="V404" s="1"/>
    </row>
    <row r="405" spans="1:22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32"/>
      <c r="O405" s="1"/>
      <c r="P405" s="1"/>
      <c r="Q405" s="1"/>
      <c r="R405" s="1"/>
      <c r="S405" s="1"/>
      <c r="T405" s="1"/>
      <c r="U405" s="32"/>
      <c r="V405" s="1"/>
    </row>
    <row r="406" spans="1:22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32"/>
      <c r="O406" s="1"/>
      <c r="P406" s="1"/>
      <c r="Q406" s="1"/>
      <c r="R406" s="1"/>
      <c r="S406" s="1"/>
      <c r="T406" s="1"/>
      <c r="U406" s="32"/>
      <c r="V406" s="1"/>
    </row>
    <row r="407" spans="1:22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32"/>
      <c r="O407" s="1"/>
      <c r="P407" s="1"/>
      <c r="Q407" s="1"/>
      <c r="R407" s="1"/>
      <c r="S407" s="1"/>
      <c r="T407" s="1"/>
      <c r="U407" s="32"/>
      <c r="V407" s="1"/>
    </row>
    <row r="408" spans="1:22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32"/>
      <c r="O408" s="1"/>
      <c r="P408" s="1"/>
      <c r="Q408" s="1"/>
      <c r="R408" s="1"/>
      <c r="S408" s="1"/>
      <c r="T408" s="1"/>
      <c r="U408" s="32"/>
      <c r="V408" s="1"/>
    </row>
    <row r="409" spans="1:22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32"/>
      <c r="O409" s="1"/>
      <c r="P409" s="1"/>
      <c r="Q409" s="1"/>
      <c r="R409" s="1"/>
      <c r="S409" s="1"/>
      <c r="T409" s="1"/>
      <c r="U409" s="32"/>
      <c r="V409" s="1"/>
    </row>
    <row r="410" spans="1:22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32"/>
      <c r="O410" s="1"/>
      <c r="P410" s="1"/>
      <c r="Q410" s="1"/>
      <c r="R410" s="1"/>
      <c r="S410" s="1"/>
      <c r="T410" s="1"/>
      <c r="U410" s="32"/>
      <c r="V410" s="1"/>
    </row>
    <row r="411" spans="1:22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32"/>
      <c r="O411" s="1"/>
      <c r="P411" s="1"/>
      <c r="Q411" s="1"/>
      <c r="R411" s="1"/>
      <c r="S411" s="1"/>
      <c r="T411" s="1"/>
      <c r="U411" s="32"/>
      <c r="V411" s="1"/>
    </row>
    <row r="412" spans="1:22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32"/>
      <c r="O412" s="1"/>
      <c r="P412" s="1"/>
      <c r="Q412" s="1"/>
      <c r="R412" s="1"/>
      <c r="S412" s="1"/>
      <c r="T412" s="1"/>
      <c r="U412" s="32"/>
      <c r="V412" s="1"/>
    </row>
    <row r="413" spans="1:22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32"/>
      <c r="O413" s="1"/>
      <c r="P413" s="1"/>
      <c r="Q413" s="1"/>
      <c r="R413" s="1"/>
      <c r="S413" s="1"/>
      <c r="T413" s="1"/>
      <c r="U413" s="32"/>
      <c r="V413" s="1"/>
    </row>
    <row r="414" spans="1:22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32"/>
      <c r="O414" s="1"/>
      <c r="P414" s="1"/>
      <c r="Q414" s="1"/>
      <c r="R414" s="1"/>
      <c r="S414" s="1"/>
      <c r="T414" s="1"/>
      <c r="U414" s="32"/>
      <c r="V414" s="1"/>
    </row>
    <row r="415" spans="1:22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32"/>
      <c r="O415" s="1"/>
      <c r="P415" s="1"/>
      <c r="Q415" s="1"/>
      <c r="R415" s="1"/>
      <c r="S415" s="1"/>
      <c r="T415" s="1"/>
      <c r="U415" s="32"/>
      <c r="V415" s="1"/>
    </row>
    <row r="416" spans="1:22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32"/>
      <c r="O416" s="1"/>
      <c r="P416" s="1"/>
      <c r="Q416" s="1"/>
      <c r="R416" s="1"/>
      <c r="S416" s="1"/>
      <c r="T416" s="1"/>
      <c r="U416" s="32"/>
      <c r="V416" s="1"/>
    </row>
    <row r="417" spans="1:22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32"/>
      <c r="O417" s="1"/>
      <c r="P417" s="1"/>
      <c r="Q417" s="1"/>
      <c r="R417" s="1"/>
      <c r="S417" s="1"/>
      <c r="T417" s="1"/>
      <c r="U417" s="32"/>
      <c r="V417" s="1"/>
    </row>
    <row r="418" spans="1:22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32"/>
      <c r="O418" s="1"/>
      <c r="P418" s="1"/>
      <c r="Q418" s="1"/>
      <c r="R418" s="1"/>
      <c r="S418" s="1"/>
      <c r="T418" s="1"/>
      <c r="U418" s="32"/>
      <c r="V418" s="1"/>
    </row>
    <row r="419" spans="1:22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32"/>
      <c r="O419" s="1"/>
      <c r="P419" s="1"/>
      <c r="Q419" s="1"/>
      <c r="R419" s="1"/>
      <c r="S419" s="1"/>
      <c r="T419" s="1"/>
      <c r="U419" s="32"/>
      <c r="V419" s="1"/>
    </row>
    <row r="420" spans="1:22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32"/>
      <c r="O420" s="1"/>
      <c r="P420" s="1"/>
      <c r="Q420" s="1"/>
      <c r="R420" s="1"/>
      <c r="S420" s="1"/>
      <c r="T420" s="1"/>
      <c r="U420" s="32"/>
      <c r="V420" s="1"/>
    </row>
    <row r="421" spans="1:22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32"/>
      <c r="O421" s="1"/>
      <c r="P421" s="1"/>
      <c r="Q421" s="1"/>
      <c r="R421" s="1"/>
      <c r="S421" s="1"/>
      <c r="T421" s="1"/>
      <c r="U421" s="32"/>
      <c r="V421" s="1"/>
    </row>
    <row r="422" spans="1:22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32"/>
      <c r="O422" s="1"/>
      <c r="P422" s="1"/>
      <c r="Q422" s="1"/>
      <c r="R422" s="1"/>
      <c r="S422" s="1"/>
      <c r="T422" s="1"/>
      <c r="U422" s="32"/>
      <c r="V422" s="1"/>
    </row>
    <row r="423" spans="1:22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32"/>
      <c r="O423" s="1"/>
      <c r="P423" s="1"/>
      <c r="Q423" s="1"/>
      <c r="R423" s="1"/>
      <c r="S423" s="1"/>
      <c r="T423" s="1"/>
      <c r="U423" s="32"/>
      <c r="V423" s="1"/>
    </row>
    <row r="424" spans="1:22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32"/>
      <c r="O424" s="1"/>
      <c r="P424" s="1"/>
      <c r="Q424" s="1"/>
      <c r="R424" s="1"/>
      <c r="S424" s="1"/>
      <c r="T424" s="1"/>
      <c r="U424" s="32"/>
      <c r="V424" s="1"/>
    </row>
    <row r="425" spans="1:22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32"/>
      <c r="O425" s="1"/>
      <c r="P425" s="1"/>
      <c r="Q425" s="1"/>
      <c r="R425" s="1"/>
      <c r="S425" s="1"/>
      <c r="T425" s="1"/>
      <c r="U425" s="32"/>
      <c r="V425" s="1"/>
    </row>
    <row r="426" spans="1:22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32"/>
      <c r="O426" s="1"/>
      <c r="P426" s="1"/>
      <c r="Q426" s="1"/>
      <c r="R426" s="1"/>
      <c r="S426" s="1"/>
      <c r="T426" s="1"/>
      <c r="U426" s="32"/>
      <c r="V426" s="1"/>
    </row>
    <row r="427" spans="1:22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32"/>
      <c r="O427" s="1"/>
      <c r="P427" s="1"/>
      <c r="Q427" s="1"/>
      <c r="R427" s="1"/>
      <c r="S427" s="1"/>
      <c r="T427" s="1"/>
      <c r="U427" s="32"/>
      <c r="V427" s="1"/>
    </row>
    <row r="428" spans="1:22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32"/>
      <c r="O428" s="1"/>
      <c r="P428" s="1"/>
      <c r="Q428" s="1"/>
      <c r="R428" s="1"/>
      <c r="S428" s="1"/>
      <c r="T428" s="1"/>
      <c r="U428" s="32"/>
      <c r="V428" s="1"/>
    </row>
    <row r="429" spans="1:22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32"/>
      <c r="O429" s="1"/>
      <c r="P429" s="1"/>
      <c r="Q429" s="1"/>
      <c r="R429" s="1"/>
      <c r="S429" s="1"/>
      <c r="T429" s="1"/>
      <c r="U429" s="32"/>
      <c r="V429" s="1"/>
    </row>
    <row r="430" spans="1:22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32"/>
      <c r="O430" s="1"/>
      <c r="P430" s="1"/>
      <c r="Q430" s="1"/>
      <c r="R430" s="1"/>
      <c r="S430" s="1"/>
      <c r="T430" s="1"/>
      <c r="U430" s="32"/>
      <c r="V430" s="1"/>
    </row>
    <row r="431" spans="1:22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32"/>
      <c r="O431" s="1"/>
      <c r="P431" s="1"/>
      <c r="Q431" s="1"/>
      <c r="R431" s="1"/>
      <c r="S431" s="1"/>
      <c r="T431" s="1"/>
      <c r="U431" s="32"/>
      <c r="V431" s="1"/>
    </row>
    <row r="432" spans="1:22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32"/>
      <c r="O432" s="1"/>
      <c r="P432" s="1"/>
      <c r="Q432" s="1"/>
      <c r="R432" s="1"/>
      <c r="S432" s="1"/>
      <c r="T432" s="1"/>
      <c r="U432" s="32"/>
      <c r="V432" s="1"/>
    </row>
    <row r="433" spans="1:22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32"/>
      <c r="O433" s="1"/>
      <c r="P433" s="1"/>
      <c r="Q433" s="1"/>
      <c r="R433" s="1"/>
      <c r="S433" s="1"/>
      <c r="T433" s="1"/>
      <c r="U433" s="32"/>
      <c r="V433" s="1"/>
    </row>
    <row r="434" spans="1:22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32"/>
      <c r="O434" s="1"/>
      <c r="P434" s="1"/>
      <c r="Q434" s="1"/>
      <c r="R434" s="1"/>
      <c r="S434" s="1"/>
      <c r="T434" s="1"/>
      <c r="U434" s="32"/>
      <c r="V434" s="1"/>
    </row>
    <row r="435" spans="1:22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32"/>
      <c r="O435" s="1"/>
      <c r="P435" s="1"/>
      <c r="Q435" s="1"/>
      <c r="R435" s="1"/>
      <c r="S435" s="1"/>
      <c r="T435" s="1"/>
      <c r="U435" s="32"/>
      <c r="V435" s="1"/>
    </row>
    <row r="436" spans="1:22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32"/>
      <c r="O436" s="1"/>
      <c r="P436" s="1"/>
      <c r="Q436" s="1"/>
      <c r="R436" s="1"/>
      <c r="S436" s="1"/>
      <c r="T436" s="1"/>
      <c r="U436" s="32"/>
      <c r="V436" s="1"/>
    </row>
    <row r="437" spans="1:22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32"/>
      <c r="O437" s="1"/>
      <c r="P437" s="1"/>
      <c r="Q437" s="1"/>
      <c r="R437" s="1"/>
      <c r="S437" s="1"/>
      <c r="T437" s="1"/>
      <c r="U437" s="32"/>
      <c r="V437" s="1"/>
    </row>
    <row r="438" spans="1:22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32"/>
      <c r="O438" s="1"/>
      <c r="P438" s="1"/>
      <c r="Q438" s="1"/>
      <c r="R438" s="1"/>
      <c r="S438" s="1"/>
      <c r="T438" s="1"/>
      <c r="U438" s="32"/>
      <c r="V438" s="1"/>
    </row>
    <row r="439" spans="1:22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32"/>
      <c r="O439" s="1"/>
      <c r="P439" s="1"/>
      <c r="Q439" s="1"/>
      <c r="R439" s="1"/>
      <c r="S439" s="1"/>
      <c r="T439" s="1"/>
      <c r="U439" s="32"/>
      <c r="V439" s="1"/>
    </row>
    <row r="440" spans="1:22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32"/>
      <c r="O440" s="1"/>
      <c r="P440" s="1"/>
      <c r="Q440" s="1"/>
      <c r="R440" s="1"/>
      <c r="S440" s="1"/>
      <c r="T440" s="1"/>
      <c r="U440" s="32"/>
      <c r="V440" s="1"/>
    </row>
    <row r="441" spans="1:22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32"/>
      <c r="O441" s="1"/>
      <c r="P441" s="1"/>
      <c r="Q441" s="1"/>
      <c r="R441" s="1"/>
      <c r="S441" s="1"/>
      <c r="T441" s="1"/>
      <c r="U441" s="32"/>
      <c r="V441" s="1"/>
    </row>
    <row r="442" spans="1:22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32"/>
      <c r="O442" s="1"/>
      <c r="P442" s="1"/>
      <c r="Q442" s="1"/>
      <c r="R442" s="1"/>
      <c r="S442" s="1"/>
      <c r="T442" s="1"/>
      <c r="U442" s="32"/>
      <c r="V442" s="1"/>
    </row>
    <row r="443" spans="1:22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32"/>
      <c r="O443" s="1"/>
      <c r="P443" s="1"/>
      <c r="Q443" s="1"/>
      <c r="R443" s="1"/>
      <c r="S443" s="1"/>
      <c r="T443" s="1"/>
      <c r="U443" s="32"/>
      <c r="V443" s="1"/>
    </row>
    <row r="444" spans="1:22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32"/>
      <c r="O444" s="1"/>
      <c r="P444" s="1"/>
      <c r="Q444" s="1"/>
      <c r="R444" s="1"/>
      <c r="S444" s="1"/>
      <c r="T444" s="1"/>
      <c r="U444" s="32"/>
      <c r="V444" s="1"/>
    </row>
    <row r="445" spans="1:22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32"/>
      <c r="O445" s="1"/>
      <c r="P445" s="1"/>
      <c r="Q445" s="1"/>
      <c r="R445" s="1"/>
      <c r="S445" s="1"/>
      <c r="T445" s="1"/>
      <c r="U445" s="32"/>
      <c r="V445" s="1"/>
    </row>
    <row r="446" spans="1:22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32"/>
      <c r="O446" s="1"/>
      <c r="P446" s="1"/>
      <c r="Q446" s="1"/>
      <c r="R446" s="1"/>
      <c r="S446" s="1"/>
      <c r="T446" s="1"/>
      <c r="U446" s="32"/>
      <c r="V446" s="1"/>
    </row>
    <row r="447" spans="1:22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32"/>
      <c r="O447" s="1"/>
      <c r="P447" s="1"/>
      <c r="Q447" s="1"/>
      <c r="R447" s="1"/>
      <c r="S447" s="1"/>
      <c r="T447" s="1"/>
      <c r="U447" s="32"/>
      <c r="V447" s="1"/>
    </row>
    <row r="448" spans="1:22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32"/>
      <c r="O448" s="1"/>
      <c r="P448" s="1"/>
      <c r="Q448" s="1"/>
      <c r="R448" s="1"/>
      <c r="S448" s="1"/>
      <c r="T448" s="1"/>
      <c r="U448" s="32"/>
      <c r="V448" s="1"/>
    </row>
    <row r="449" spans="1:22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32"/>
      <c r="O449" s="1"/>
      <c r="P449" s="1"/>
      <c r="Q449" s="1"/>
      <c r="R449" s="1"/>
      <c r="S449" s="1"/>
      <c r="T449" s="1"/>
      <c r="U449" s="32"/>
      <c r="V449" s="1"/>
    </row>
    <row r="450" spans="1:22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32"/>
      <c r="O450" s="1"/>
      <c r="P450" s="1"/>
      <c r="Q450" s="1"/>
      <c r="R450" s="1"/>
      <c r="S450" s="1"/>
      <c r="T450" s="1"/>
      <c r="U450" s="32"/>
      <c r="V450" s="1"/>
    </row>
    <row r="451" spans="1:22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32"/>
      <c r="O451" s="1"/>
      <c r="P451" s="1"/>
      <c r="Q451" s="1"/>
      <c r="R451" s="1"/>
      <c r="S451" s="1"/>
      <c r="T451" s="1"/>
      <c r="U451" s="32"/>
      <c r="V451" s="1"/>
    </row>
    <row r="452" spans="1:22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32"/>
      <c r="O452" s="1"/>
      <c r="P452" s="1"/>
      <c r="Q452" s="1"/>
      <c r="R452" s="1"/>
      <c r="S452" s="1"/>
      <c r="T452" s="1"/>
      <c r="U452" s="32"/>
      <c r="V452" s="1"/>
    </row>
    <row r="453" spans="1:22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32"/>
      <c r="O453" s="1"/>
      <c r="P453" s="1"/>
      <c r="Q453" s="1"/>
      <c r="R453" s="1"/>
      <c r="S453" s="1"/>
      <c r="T453" s="1"/>
      <c r="U453" s="32"/>
      <c r="V453" s="1"/>
    </row>
    <row r="454" spans="1:22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32"/>
      <c r="O454" s="1"/>
      <c r="P454" s="1"/>
      <c r="Q454" s="1"/>
      <c r="R454" s="1"/>
      <c r="S454" s="1"/>
      <c r="T454" s="1"/>
      <c r="U454" s="32"/>
      <c r="V454" s="1"/>
    </row>
    <row r="455" spans="1:22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32"/>
      <c r="O455" s="1"/>
      <c r="P455" s="1"/>
      <c r="Q455" s="1"/>
      <c r="R455" s="1"/>
      <c r="S455" s="1"/>
      <c r="T455" s="1"/>
      <c r="U455" s="32"/>
      <c r="V455" s="1"/>
    </row>
    <row r="456" spans="1:22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32"/>
      <c r="O456" s="1"/>
      <c r="P456" s="1"/>
      <c r="Q456" s="1"/>
      <c r="R456" s="1"/>
      <c r="S456" s="1"/>
      <c r="T456" s="1"/>
      <c r="U456" s="32"/>
      <c r="V456" s="1"/>
    </row>
    <row r="457" spans="1:22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32"/>
      <c r="O457" s="1"/>
      <c r="P457" s="1"/>
      <c r="Q457" s="1"/>
      <c r="R457" s="1"/>
      <c r="S457" s="1"/>
      <c r="T457" s="1"/>
      <c r="U457" s="32"/>
      <c r="V457" s="1"/>
    </row>
    <row r="458" spans="1:22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32"/>
      <c r="O458" s="1"/>
      <c r="P458" s="1"/>
      <c r="Q458" s="1"/>
      <c r="R458" s="1"/>
      <c r="S458" s="1"/>
      <c r="T458" s="1"/>
      <c r="U458" s="32"/>
      <c r="V458" s="1"/>
    </row>
    <row r="459" spans="1:22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32"/>
      <c r="O459" s="1"/>
      <c r="P459" s="1"/>
      <c r="Q459" s="1"/>
      <c r="R459" s="1"/>
      <c r="S459" s="1"/>
      <c r="T459" s="1"/>
      <c r="U459" s="32"/>
      <c r="V459" s="1"/>
    </row>
    <row r="460" spans="1:22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32"/>
      <c r="O460" s="1"/>
      <c r="P460" s="1"/>
      <c r="Q460" s="1"/>
      <c r="R460" s="1"/>
      <c r="S460" s="1"/>
      <c r="T460" s="1"/>
      <c r="U460" s="32"/>
      <c r="V460" s="1"/>
    </row>
    <row r="461" spans="1:22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32"/>
      <c r="O461" s="1"/>
      <c r="P461" s="1"/>
      <c r="Q461" s="1"/>
      <c r="R461" s="1"/>
      <c r="S461" s="1"/>
      <c r="T461" s="1"/>
      <c r="U461" s="32"/>
      <c r="V461" s="1"/>
    </row>
    <row r="462" spans="1:22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32"/>
      <c r="O462" s="1"/>
      <c r="P462" s="1"/>
      <c r="Q462" s="1"/>
      <c r="R462" s="1"/>
      <c r="S462" s="1"/>
      <c r="T462" s="1"/>
      <c r="U462" s="32"/>
      <c r="V462" s="1"/>
    </row>
    <row r="463" spans="1:22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32"/>
      <c r="O463" s="1"/>
      <c r="P463" s="1"/>
      <c r="Q463" s="1"/>
      <c r="R463" s="1"/>
      <c r="S463" s="1"/>
      <c r="T463" s="1"/>
      <c r="U463" s="32"/>
      <c r="V463" s="1"/>
    </row>
    <row r="464" spans="1:22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32"/>
      <c r="O464" s="1"/>
      <c r="P464" s="1"/>
      <c r="Q464" s="1"/>
      <c r="R464" s="1"/>
      <c r="S464" s="1"/>
      <c r="T464" s="1"/>
      <c r="U464" s="32"/>
      <c r="V464" s="1"/>
    </row>
    <row r="465" spans="1:22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32"/>
      <c r="O465" s="1"/>
      <c r="P465" s="1"/>
      <c r="Q465" s="1"/>
      <c r="R465" s="1"/>
      <c r="S465" s="1"/>
      <c r="T465" s="1"/>
      <c r="U465" s="32"/>
      <c r="V465" s="1"/>
    </row>
    <row r="466" spans="1:22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32"/>
      <c r="O466" s="1"/>
      <c r="P466" s="1"/>
      <c r="Q466" s="1"/>
      <c r="R466" s="1"/>
      <c r="S466" s="1"/>
      <c r="T466" s="1"/>
      <c r="U466" s="32"/>
      <c r="V466" s="1"/>
    </row>
    <row r="467" spans="1:22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32"/>
      <c r="O467" s="1"/>
      <c r="P467" s="1"/>
      <c r="Q467" s="1"/>
      <c r="R467" s="1"/>
      <c r="S467" s="1"/>
      <c r="T467" s="1"/>
      <c r="U467" s="32"/>
      <c r="V467" s="1"/>
    </row>
    <row r="468" spans="1:22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32"/>
      <c r="O468" s="1"/>
      <c r="P468" s="1"/>
      <c r="Q468" s="1"/>
      <c r="R468" s="1"/>
      <c r="S468" s="1"/>
      <c r="T468" s="1"/>
      <c r="U468" s="32"/>
      <c r="V468" s="1"/>
    </row>
    <row r="469" spans="1:22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32"/>
      <c r="O469" s="1"/>
      <c r="P469" s="1"/>
      <c r="Q469" s="1"/>
      <c r="R469" s="1"/>
      <c r="S469" s="1"/>
      <c r="T469" s="1"/>
      <c r="U469" s="32"/>
      <c r="V469" s="1"/>
    </row>
    <row r="470" spans="1:22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32"/>
      <c r="O470" s="1"/>
      <c r="P470" s="1"/>
      <c r="Q470" s="1"/>
      <c r="R470" s="1"/>
      <c r="S470" s="1"/>
      <c r="T470" s="1"/>
      <c r="U470" s="32"/>
      <c r="V470" s="1"/>
    </row>
    <row r="471" spans="1:22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32"/>
      <c r="O471" s="1"/>
      <c r="P471" s="1"/>
      <c r="Q471" s="1"/>
      <c r="R471" s="1"/>
      <c r="S471" s="1"/>
      <c r="T471" s="1"/>
      <c r="U471" s="32"/>
      <c r="V471" s="1"/>
    </row>
    <row r="472" spans="1:22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32"/>
      <c r="O472" s="1"/>
      <c r="P472" s="1"/>
      <c r="Q472" s="1"/>
      <c r="R472" s="1"/>
      <c r="S472" s="1"/>
      <c r="T472" s="1"/>
      <c r="U472" s="32"/>
      <c r="V472" s="1"/>
    </row>
    <row r="473" spans="1:22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32"/>
      <c r="O473" s="1"/>
      <c r="P473" s="1"/>
      <c r="Q473" s="1"/>
      <c r="R473" s="1"/>
      <c r="S473" s="1"/>
      <c r="T473" s="1"/>
      <c r="U473" s="32"/>
      <c r="V473" s="1"/>
    </row>
    <row r="474" spans="1:22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32"/>
      <c r="O474" s="1"/>
      <c r="P474" s="1"/>
      <c r="Q474" s="1"/>
      <c r="R474" s="1"/>
      <c r="S474" s="1"/>
      <c r="T474" s="1"/>
      <c r="U474" s="32"/>
      <c r="V474" s="1"/>
    </row>
    <row r="475" spans="1:22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32"/>
      <c r="O475" s="1"/>
      <c r="P475" s="1"/>
      <c r="Q475" s="1"/>
      <c r="R475" s="1"/>
      <c r="S475" s="1"/>
      <c r="T475" s="1"/>
      <c r="U475" s="32"/>
      <c r="V475" s="1"/>
    </row>
    <row r="476" spans="1:22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32"/>
      <c r="O476" s="1"/>
      <c r="P476" s="1"/>
      <c r="Q476" s="1"/>
      <c r="R476" s="1"/>
      <c r="S476" s="1"/>
      <c r="T476" s="1"/>
      <c r="U476" s="32"/>
      <c r="V476" s="1"/>
    </row>
    <row r="477" spans="1:22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32"/>
      <c r="O477" s="1"/>
      <c r="P477" s="1"/>
      <c r="Q477" s="1"/>
      <c r="R477" s="1"/>
      <c r="S477" s="1"/>
      <c r="T477" s="1"/>
      <c r="U477" s="32"/>
      <c r="V477" s="1"/>
    </row>
    <row r="478" spans="1:22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32"/>
      <c r="O478" s="1"/>
      <c r="P478" s="1"/>
      <c r="Q478" s="1"/>
      <c r="R478" s="1"/>
      <c r="S478" s="1"/>
      <c r="T478" s="1"/>
      <c r="U478" s="32"/>
      <c r="V478" s="1"/>
    </row>
    <row r="479" spans="1:22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32"/>
      <c r="O479" s="1"/>
      <c r="P479" s="1"/>
      <c r="Q479" s="1"/>
      <c r="R479" s="1"/>
      <c r="S479" s="1"/>
      <c r="T479" s="1"/>
      <c r="U479" s="32"/>
      <c r="V479" s="1"/>
    </row>
    <row r="480" spans="1:22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32"/>
      <c r="O480" s="1"/>
      <c r="P480" s="1"/>
      <c r="Q480" s="1"/>
      <c r="R480" s="1"/>
      <c r="S480" s="1"/>
      <c r="T480" s="1"/>
      <c r="U480" s="32"/>
      <c r="V480" s="1"/>
    </row>
    <row r="481" spans="1:22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32"/>
      <c r="O481" s="1"/>
      <c r="P481" s="1"/>
      <c r="Q481" s="1"/>
      <c r="R481" s="1"/>
      <c r="S481" s="1"/>
      <c r="T481" s="1"/>
      <c r="U481" s="32"/>
      <c r="V481" s="1"/>
    </row>
    <row r="482" spans="1:22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32"/>
      <c r="O482" s="1"/>
      <c r="P482" s="1"/>
      <c r="Q482" s="1"/>
      <c r="R482" s="1"/>
      <c r="S482" s="1"/>
      <c r="T482" s="1"/>
      <c r="U482" s="32"/>
      <c r="V482" s="1"/>
    </row>
    <row r="483" spans="1:22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32"/>
      <c r="O483" s="1"/>
      <c r="P483" s="1"/>
      <c r="Q483" s="1"/>
      <c r="R483" s="1"/>
      <c r="S483" s="1"/>
      <c r="T483" s="1"/>
      <c r="U483" s="32"/>
      <c r="V483" s="1"/>
    </row>
    <row r="484" spans="1:22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32"/>
      <c r="O484" s="1"/>
      <c r="P484" s="1"/>
      <c r="Q484" s="1"/>
      <c r="R484" s="1"/>
      <c r="S484" s="1"/>
      <c r="T484" s="1"/>
      <c r="U484" s="32"/>
      <c r="V484" s="1"/>
    </row>
    <row r="485" spans="1:22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32"/>
      <c r="O485" s="1"/>
      <c r="P485" s="1"/>
      <c r="Q485" s="1"/>
      <c r="R485" s="1"/>
      <c r="S485" s="1"/>
      <c r="T485" s="1"/>
      <c r="U485" s="32"/>
      <c r="V485" s="1"/>
    </row>
    <row r="486" spans="1:22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32"/>
      <c r="O486" s="1"/>
      <c r="P486" s="1"/>
      <c r="Q486" s="1"/>
      <c r="R486" s="1"/>
      <c r="S486" s="1"/>
      <c r="T486" s="1"/>
      <c r="U486" s="32"/>
      <c r="V486" s="1"/>
    </row>
    <row r="487" spans="1:22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32"/>
      <c r="O487" s="1"/>
      <c r="P487" s="1"/>
      <c r="Q487" s="1"/>
      <c r="R487" s="1"/>
      <c r="S487" s="1"/>
      <c r="T487" s="1"/>
      <c r="U487" s="32"/>
      <c r="V487" s="1"/>
    </row>
    <row r="488" spans="1:22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32"/>
      <c r="O488" s="1"/>
      <c r="P488" s="1"/>
      <c r="Q488" s="1"/>
      <c r="R488" s="1"/>
      <c r="S488" s="1"/>
      <c r="T488" s="1"/>
      <c r="U488" s="32"/>
      <c r="V488" s="1"/>
    </row>
    <row r="489" spans="1:22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32"/>
      <c r="O489" s="1"/>
      <c r="P489" s="1"/>
      <c r="Q489" s="1"/>
      <c r="R489" s="1"/>
      <c r="S489" s="1"/>
      <c r="T489" s="1"/>
      <c r="U489" s="32"/>
      <c r="V489" s="1"/>
    </row>
    <row r="490" spans="1:22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32"/>
      <c r="O490" s="1"/>
      <c r="P490" s="1"/>
      <c r="Q490" s="1"/>
      <c r="R490" s="1"/>
      <c r="S490" s="1"/>
      <c r="T490" s="1"/>
      <c r="U490" s="32"/>
      <c r="V490" s="1"/>
    </row>
    <row r="491" spans="1:22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32"/>
      <c r="O491" s="1"/>
      <c r="P491" s="1"/>
      <c r="Q491" s="1"/>
      <c r="R491" s="1"/>
      <c r="S491" s="1"/>
      <c r="T491" s="1"/>
      <c r="U491" s="32"/>
      <c r="V491" s="1"/>
    </row>
    <row r="492" spans="1:22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32"/>
      <c r="O492" s="1"/>
      <c r="P492" s="1"/>
      <c r="Q492" s="1"/>
      <c r="R492" s="1"/>
      <c r="S492" s="1"/>
      <c r="T492" s="1"/>
      <c r="U492" s="32"/>
      <c r="V492" s="1"/>
    </row>
    <row r="493" spans="1:22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32"/>
      <c r="O493" s="1"/>
      <c r="P493" s="1"/>
      <c r="Q493" s="1"/>
      <c r="R493" s="1"/>
      <c r="S493" s="1"/>
      <c r="T493" s="1"/>
      <c r="U493" s="32"/>
      <c r="V493" s="1"/>
    </row>
    <row r="494" spans="1:22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32"/>
      <c r="O494" s="1"/>
      <c r="P494" s="1"/>
      <c r="Q494" s="1"/>
      <c r="R494" s="1"/>
      <c r="S494" s="1"/>
      <c r="T494" s="1"/>
      <c r="U494" s="32"/>
      <c r="V494" s="1"/>
    </row>
    <row r="495" spans="1:22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32"/>
      <c r="O495" s="1"/>
      <c r="P495" s="1"/>
      <c r="Q495" s="1"/>
      <c r="R495" s="1"/>
      <c r="S495" s="1"/>
      <c r="T495" s="1"/>
      <c r="U495" s="32"/>
      <c r="V495" s="1"/>
    </row>
    <row r="496" spans="1:22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32"/>
      <c r="O496" s="1"/>
      <c r="P496" s="1"/>
      <c r="Q496" s="1"/>
      <c r="R496" s="1"/>
      <c r="S496" s="1"/>
      <c r="T496" s="1"/>
      <c r="U496" s="32"/>
      <c r="V496" s="1"/>
    </row>
    <row r="497" spans="1:22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32"/>
      <c r="O497" s="1"/>
      <c r="P497" s="1"/>
      <c r="Q497" s="1"/>
      <c r="R497" s="1"/>
      <c r="S497" s="1"/>
      <c r="T497" s="1"/>
      <c r="U497" s="32"/>
      <c r="V497" s="1"/>
    </row>
    <row r="498" spans="1:22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32"/>
      <c r="O498" s="1"/>
      <c r="P498" s="1"/>
      <c r="Q498" s="1"/>
      <c r="R498" s="1"/>
      <c r="S498" s="1"/>
      <c r="T498" s="1"/>
      <c r="U498" s="32"/>
      <c r="V498" s="1"/>
    </row>
    <row r="499" spans="1:22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32"/>
      <c r="O499" s="1"/>
      <c r="P499" s="1"/>
      <c r="Q499" s="1"/>
      <c r="R499" s="1"/>
      <c r="S499" s="1"/>
      <c r="T499" s="1"/>
      <c r="U499" s="32"/>
      <c r="V499" s="1"/>
    </row>
    <row r="500" spans="1:22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32"/>
      <c r="O500" s="1"/>
      <c r="P500" s="1"/>
      <c r="Q500" s="1"/>
      <c r="R500" s="1"/>
      <c r="S500" s="1"/>
      <c r="T500" s="1"/>
      <c r="U500" s="32"/>
      <c r="V500" s="1"/>
    </row>
    <row r="501" spans="1:22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32"/>
      <c r="O501" s="1"/>
      <c r="P501" s="1"/>
      <c r="Q501" s="1"/>
      <c r="R501" s="1"/>
      <c r="S501" s="1"/>
      <c r="T501" s="1"/>
      <c r="U501" s="32"/>
      <c r="V501" s="1"/>
    </row>
    <row r="502" spans="1:22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32"/>
      <c r="O502" s="1"/>
      <c r="P502" s="1"/>
      <c r="Q502" s="1"/>
      <c r="R502" s="1"/>
      <c r="S502" s="1"/>
      <c r="T502" s="1"/>
      <c r="U502" s="32"/>
      <c r="V502" s="1"/>
    </row>
    <row r="503" spans="1:22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32"/>
      <c r="O503" s="1"/>
      <c r="P503" s="1"/>
      <c r="Q503" s="1"/>
      <c r="R503" s="1"/>
      <c r="S503" s="1"/>
      <c r="T503" s="1"/>
      <c r="U503" s="32"/>
      <c r="V503" s="1"/>
    </row>
    <row r="504" spans="1:22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32"/>
      <c r="O504" s="1"/>
      <c r="P504" s="1"/>
      <c r="Q504" s="1"/>
      <c r="R504" s="1"/>
      <c r="S504" s="1"/>
      <c r="T504" s="1"/>
      <c r="U504" s="32"/>
      <c r="V504" s="1"/>
    </row>
    <row r="505" spans="1:22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32"/>
      <c r="O505" s="1"/>
      <c r="P505" s="1"/>
      <c r="Q505" s="1"/>
      <c r="R505" s="1"/>
      <c r="S505" s="1"/>
      <c r="T505" s="1"/>
      <c r="U505" s="32"/>
      <c r="V505" s="1"/>
    </row>
    <row r="506" spans="1:22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32"/>
      <c r="O506" s="1"/>
      <c r="P506" s="1"/>
      <c r="Q506" s="1"/>
      <c r="R506" s="1"/>
      <c r="S506" s="1"/>
      <c r="T506" s="1"/>
      <c r="U506" s="32"/>
      <c r="V506" s="1"/>
    </row>
    <row r="507" spans="1:22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32"/>
      <c r="O507" s="1"/>
      <c r="P507" s="1"/>
      <c r="Q507" s="1"/>
      <c r="R507" s="1"/>
      <c r="S507" s="1"/>
      <c r="T507" s="1"/>
      <c r="U507" s="32"/>
      <c r="V507" s="1"/>
    </row>
    <row r="508" spans="1:22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32"/>
      <c r="O508" s="1"/>
      <c r="P508" s="1"/>
      <c r="Q508" s="1"/>
      <c r="R508" s="1"/>
      <c r="S508" s="1"/>
      <c r="T508" s="1"/>
      <c r="U508" s="32"/>
      <c r="V508" s="1"/>
    </row>
    <row r="509" spans="1:22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32"/>
      <c r="O509" s="1"/>
      <c r="P509" s="1"/>
      <c r="Q509" s="1"/>
      <c r="R509" s="1"/>
      <c r="S509" s="1"/>
      <c r="T509" s="1"/>
      <c r="U509" s="32"/>
      <c r="V509" s="1"/>
    </row>
    <row r="510" spans="1:22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32"/>
      <c r="O510" s="1"/>
      <c r="P510" s="1"/>
      <c r="Q510" s="1"/>
      <c r="R510" s="1"/>
      <c r="S510" s="1"/>
      <c r="T510" s="1"/>
      <c r="U510" s="32"/>
      <c r="V510" s="1"/>
    </row>
    <row r="511" spans="1:22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32"/>
      <c r="O511" s="1"/>
      <c r="P511" s="1"/>
      <c r="Q511" s="1"/>
      <c r="R511" s="1"/>
      <c r="S511" s="1"/>
      <c r="T511" s="1"/>
      <c r="U511" s="32"/>
      <c r="V511" s="1"/>
    </row>
    <row r="512" spans="1:22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32"/>
      <c r="O512" s="1"/>
      <c r="P512" s="1"/>
      <c r="Q512" s="1"/>
      <c r="R512" s="1"/>
      <c r="S512" s="1"/>
      <c r="T512" s="1"/>
      <c r="U512" s="32"/>
      <c r="V512" s="1"/>
    </row>
    <row r="513" spans="1:22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32"/>
      <c r="O513" s="1"/>
      <c r="P513" s="1"/>
      <c r="Q513" s="1"/>
      <c r="R513" s="1"/>
      <c r="S513" s="1"/>
      <c r="T513" s="1"/>
      <c r="U513" s="32"/>
      <c r="V513" s="1"/>
    </row>
    <row r="514" spans="1:22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32"/>
      <c r="O514" s="1"/>
      <c r="P514" s="1"/>
      <c r="Q514" s="1"/>
      <c r="R514" s="1"/>
      <c r="S514" s="1"/>
      <c r="T514" s="1"/>
      <c r="U514" s="32"/>
      <c r="V514" s="1"/>
    </row>
    <row r="515" spans="1:22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32"/>
      <c r="O515" s="1"/>
      <c r="P515" s="1"/>
      <c r="Q515" s="1"/>
      <c r="R515" s="1"/>
      <c r="S515" s="1"/>
      <c r="T515" s="1"/>
      <c r="U515" s="32"/>
      <c r="V515" s="1"/>
    </row>
    <row r="516" spans="1:22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32"/>
      <c r="O516" s="1"/>
      <c r="P516" s="1"/>
      <c r="Q516" s="1"/>
      <c r="R516" s="1"/>
      <c r="S516" s="1"/>
      <c r="T516" s="1"/>
      <c r="U516" s="32"/>
      <c r="V516" s="1"/>
    </row>
    <row r="517" spans="1:22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32"/>
      <c r="O517" s="1"/>
      <c r="P517" s="1"/>
      <c r="Q517" s="1"/>
      <c r="R517" s="1"/>
      <c r="S517" s="1"/>
      <c r="T517" s="1"/>
      <c r="U517" s="32"/>
      <c r="V517" s="1"/>
    </row>
    <row r="518" spans="1:22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32"/>
      <c r="O518" s="1"/>
      <c r="P518" s="1"/>
      <c r="Q518" s="1"/>
      <c r="R518" s="1"/>
      <c r="S518" s="1"/>
      <c r="T518" s="1"/>
      <c r="U518" s="32"/>
      <c r="V518" s="1"/>
    </row>
    <row r="519" spans="1:22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32"/>
      <c r="O519" s="1"/>
      <c r="P519" s="1"/>
      <c r="Q519" s="1"/>
      <c r="R519" s="1"/>
      <c r="S519" s="1"/>
      <c r="T519" s="1"/>
      <c r="U519" s="32"/>
      <c r="V519" s="1"/>
    </row>
    <row r="520" spans="1:22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32"/>
      <c r="O520" s="1"/>
      <c r="P520" s="1"/>
      <c r="Q520" s="1"/>
      <c r="R520" s="1"/>
      <c r="S520" s="1"/>
      <c r="T520" s="1"/>
      <c r="U520" s="32"/>
      <c r="V520" s="1"/>
    </row>
    <row r="521" spans="1:22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32"/>
      <c r="O521" s="1"/>
      <c r="P521" s="1"/>
      <c r="Q521" s="1"/>
      <c r="R521" s="1"/>
      <c r="S521" s="1"/>
      <c r="T521" s="1"/>
      <c r="U521" s="32"/>
      <c r="V521" s="1"/>
    </row>
    <row r="522" spans="1:22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32"/>
      <c r="O522" s="1"/>
      <c r="P522" s="1"/>
      <c r="Q522" s="1"/>
      <c r="R522" s="1"/>
      <c r="S522" s="1"/>
      <c r="T522" s="1"/>
      <c r="U522" s="32"/>
      <c r="V522" s="1"/>
    </row>
    <row r="523" spans="1:22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32"/>
      <c r="O523" s="1"/>
      <c r="P523" s="1"/>
      <c r="Q523" s="1"/>
      <c r="R523" s="1"/>
      <c r="S523" s="1"/>
      <c r="T523" s="1"/>
      <c r="U523" s="32"/>
      <c r="V523" s="1"/>
    </row>
    <row r="524" spans="1:22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32"/>
      <c r="O524" s="1"/>
      <c r="P524" s="1"/>
      <c r="Q524" s="1"/>
      <c r="R524" s="1"/>
      <c r="S524" s="1"/>
      <c r="T524" s="1"/>
      <c r="U524" s="32"/>
      <c r="V524" s="1"/>
    </row>
    <row r="525" spans="1:22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32"/>
      <c r="O525" s="1"/>
      <c r="P525" s="1"/>
      <c r="Q525" s="1"/>
      <c r="R525" s="1"/>
      <c r="S525" s="1"/>
      <c r="T525" s="1"/>
      <c r="U525" s="32"/>
      <c r="V525" s="1"/>
    </row>
    <row r="526" spans="1:22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32"/>
      <c r="O526" s="1"/>
      <c r="P526" s="1"/>
      <c r="Q526" s="1"/>
      <c r="R526" s="1"/>
      <c r="S526" s="1"/>
      <c r="T526" s="1"/>
      <c r="U526" s="32"/>
      <c r="V526" s="1"/>
    </row>
    <row r="527" spans="1:22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32"/>
      <c r="O527" s="1"/>
      <c r="P527" s="1"/>
      <c r="Q527" s="1"/>
      <c r="R527" s="1"/>
      <c r="S527" s="1"/>
      <c r="T527" s="1"/>
      <c r="U527" s="32"/>
      <c r="V527" s="1"/>
    </row>
    <row r="528" spans="1:22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32"/>
      <c r="O528" s="1"/>
      <c r="P528" s="1"/>
      <c r="Q528" s="1"/>
      <c r="R528" s="1"/>
      <c r="S528" s="1"/>
      <c r="T528" s="1"/>
      <c r="U528" s="32"/>
      <c r="V528" s="1"/>
    </row>
    <row r="529" spans="1:22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32"/>
      <c r="O529" s="1"/>
      <c r="P529" s="1"/>
      <c r="Q529" s="1"/>
      <c r="R529" s="1"/>
      <c r="S529" s="1"/>
      <c r="T529" s="1"/>
      <c r="U529" s="32"/>
      <c r="V529" s="1"/>
    </row>
    <row r="530" spans="1:22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32"/>
      <c r="O530" s="1"/>
      <c r="P530" s="1"/>
      <c r="Q530" s="1"/>
      <c r="R530" s="1"/>
      <c r="S530" s="1"/>
      <c r="T530" s="1"/>
      <c r="U530" s="32"/>
      <c r="V530" s="1"/>
    </row>
    <row r="531" spans="1:22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32"/>
      <c r="O531" s="1"/>
      <c r="P531" s="1"/>
      <c r="Q531" s="1"/>
      <c r="R531" s="1"/>
      <c r="S531" s="1"/>
      <c r="T531" s="1"/>
      <c r="U531" s="32"/>
      <c r="V531" s="1"/>
    </row>
    <row r="532" spans="1:22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32"/>
      <c r="O532" s="1"/>
      <c r="P532" s="1"/>
      <c r="Q532" s="1"/>
      <c r="R532" s="1"/>
      <c r="S532" s="1"/>
      <c r="T532" s="1"/>
      <c r="U532" s="32"/>
      <c r="V532" s="1"/>
    </row>
    <row r="533" spans="1:22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32"/>
      <c r="O533" s="1"/>
      <c r="P533" s="1"/>
      <c r="Q533" s="1"/>
      <c r="R533" s="1"/>
      <c r="S533" s="1"/>
      <c r="T533" s="1"/>
      <c r="U533" s="32"/>
      <c r="V533" s="1"/>
    </row>
    <row r="534" spans="1:22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32"/>
      <c r="O534" s="1"/>
      <c r="P534" s="1"/>
      <c r="Q534" s="1"/>
      <c r="R534" s="1"/>
      <c r="S534" s="1"/>
      <c r="T534" s="1"/>
      <c r="U534" s="32"/>
      <c r="V534" s="1"/>
    </row>
    <row r="535" spans="1:22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32"/>
      <c r="O535" s="1"/>
      <c r="P535" s="1"/>
      <c r="Q535" s="1"/>
      <c r="R535" s="1"/>
      <c r="S535" s="1"/>
      <c r="T535" s="1"/>
      <c r="U535" s="32"/>
      <c r="V535" s="1"/>
    </row>
    <row r="536" spans="1:22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32"/>
      <c r="O536" s="1"/>
      <c r="P536" s="1"/>
      <c r="Q536" s="1"/>
      <c r="R536" s="1"/>
      <c r="S536" s="1"/>
      <c r="T536" s="1"/>
      <c r="U536" s="32"/>
      <c r="V536" s="1"/>
    </row>
    <row r="537" spans="1:22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32"/>
      <c r="O537" s="1"/>
      <c r="P537" s="1"/>
      <c r="Q537" s="1"/>
      <c r="R537" s="1"/>
      <c r="S537" s="1"/>
      <c r="T537" s="1"/>
      <c r="U537" s="32"/>
      <c r="V537" s="1"/>
    </row>
    <row r="538" spans="1:22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32"/>
      <c r="O538" s="1"/>
      <c r="P538" s="1"/>
      <c r="Q538" s="1"/>
      <c r="R538" s="1"/>
      <c r="S538" s="1"/>
      <c r="T538" s="1"/>
      <c r="U538" s="32"/>
      <c r="V538" s="1"/>
    </row>
    <row r="539" spans="1:22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32"/>
      <c r="O539" s="1"/>
      <c r="P539" s="1"/>
      <c r="Q539" s="1"/>
      <c r="R539" s="1"/>
      <c r="S539" s="1"/>
      <c r="T539" s="1"/>
      <c r="U539" s="32"/>
      <c r="V539" s="1"/>
    </row>
    <row r="540" spans="1:22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32"/>
      <c r="O540" s="1"/>
      <c r="P540" s="1"/>
      <c r="Q540" s="1"/>
      <c r="R540" s="1"/>
      <c r="S540" s="1"/>
      <c r="T540" s="1"/>
      <c r="U540" s="32"/>
      <c r="V540" s="1"/>
    </row>
    <row r="541" spans="1:22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32"/>
      <c r="O541" s="1"/>
      <c r="P541" s="1"/>
      <c r="Q541" s="1"/>
      <c r="R541" s="1"/>
      <c r="S541" s="1"/>
      <c r="T541" s="1"/>
      <c r="U541" s="32"/>
      <c r="V541" s="1"/>
    </row>
    <row r="542" spans="1:22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32"/>
      <c r="O542" s="1"/>
      <c r="P542" s="1"/>
      <c r="Q542" s="1"/>
      <c r="R542" s="1"/>
      <c r="S542" s="1"/>
      <c r="T542" s="1"/>
      <c r="U542" s="32"/>
      <c r="V542" s="1"/>
    </row>
    <row r="543" spans="1:22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32"/>
      <c r="O543" s="1"/>
      <c r="P543" s="1"/>
      <c r="Q543" s="1"/>
      <c r="R543" s="1"/>
      <c r="S543" s="1"/>
      <c r="T543" s="1"/>
      <c r="U543" s="32"/>
      <c r="V543" s="1"/>
    </row>
    <row r="544" spans="1:22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32"/>
      <c r="O544" s="1"/>
      <c r="P544" s="1"/>
      <c r="Q544" s="1"/>
      <c r="R544" s="1"/>
      <c r="S544" s="1"/>
      <c r="T544" s="1"/>
      <c r="U544" s="32"/>
      <c r="V544" s="1"/>
    </row>
    <row r="545" spans="1:22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32"/>
      <c r="O545" s="1"/>
      <c r="P545" s="1"/>
      <c r="Q545" s="1"/>
      <c r="R545" s="1"/>
      <c r="S545" s="1"/>
      <c r="T545" s="1"/>
      <c r="U545" s="32"/>
      <c r="V545" s="1"/>
    </row>
    <row r="546" spans="1:22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32"/>
      <c r="O546" s="1"/>
      <c r="P546" s="1"/>
      <c r="Q546" s="1"/>
      <c r="R546" s="1"/>
      <c r="S546" s="1"/>
      <c r="T546" s="1"/>
      <c r="U546" s="32"/>
      <c r="V546" s="1"/>
    </row>
    <row r="547" spans="1:22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32"/>
      <c r="O547" s="1"/>
      <c r="P547" s="1"/>
      <c r="Q547" s="1"/>
      <c r="R547" s="1"/>
      <c r="S547" s="1"/>
      <c r="T547" s="1"/>
      <c r="U547" s="32"/>
      <c r="V547" s="1"/>
    </row>
    <row r="548" spans="1:22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32"/>
      <c r="O548" s="1"/>
      <c r="P548" s="1"/>
      <c r="Q548" s="1"/>
      <c r="R548" s="1"/>
      <c r="S548" s="1"/>
      <c r="T548" s="1"/>
      <c r="U548" s="32"/>
      <c r="V548" s="1"/>
    </row>
    <row r="549" spans="1:22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32"/>
      <c r="O549" s="1"/>
      <c r="P549" s="1"/>
      <c r="Q549" s="1"/>
      <c r="R549" s="1"/>
      <c r="S549" s="1"/>
      <c r="T549" s="1"/>
      <c r="U549" s="32"/>
      <c r="V549" s="1"/>
    </row>
    <row r="550" spans="1:22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32"/>
      <c r="O550" s="1"/>
      <c r="P550" s="1"/>
      <c r="Q550" s="1"/>
      <c r="R550" s="1"/>
      <c r="S550" s="1"/>
      <c r="T550" s="1"/>
      <c r="U550" s="32"/>
      <c r="V550" s="1"/>
    </row>
    <row r="551" spans="1:22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32"/>
      <c r="O551" s="1"/>
      <c r="P551" s="1"/>
      <c r="Q551" s="1"/>
      <c r="R551" s="1"/>
      <c r="S551" s="1"/>
      <c r="T551" s="1"/>
      <c r="U551" s="32"/>
      <c r="V551" s="1"/>
    </row>
    <row r="552" spans="1:22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32"/>
      <c r="O552" s="1"/>
      <c r="P552" s="1"/>
      <c r="Q552" s="1"/>
      <c r="R552" s="1"/>
      <c r="S552" s="1"/>
      <c r="T552" s="1"/>
      <c r="U552" s="32"/>
      <c r="V552" s="1"/>
    </row>
    <row r="553" spans="1:22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32"/>
      <c r="O553" s="1"/>
      <c r="P553" s="1"/>
      <c r="Q553" s="1"/>
      <c r="R553" s="1"/>
      <c r="S553" s="1"/>
      <c r="T553" s="1"/>
      <c r="U553" s="32"/>
      <c r="V553" s="1"/>
    </row>
    <row r="554" spans="1:22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32"/>
      <c r="O554" s="1"/>
      <c r="P554" s="1"/>
      <c r="Q554" s="1"/>
      <c r="R554" s="1"/>
      <c r="S554" s="1"/>
      <c r="T554" s="1"/>
      <c r="U554" s="32"/>
      <c r="V554" s="1"/>
    </row>
    <row r="555" spans="1:22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32"/>
      <c r="O555" s="1"/>
      <c r="P555" s="1"/>
      <c r="Q555" s="1"/>
      <c r="R555" s="1"/>
      <c r="S555" s="1"/>
      <c r="T555" s="1"/>
      <c r="U555" s="32"/>
      <c r="V555" s="1"/>
    </row>
    <row r="556" spans="1:22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32"/>
      <c r="O556" s="1"/>
      <c r="P556" s="1"/>
      <c r="Q556" s="1"/>
      <c r="R556" s="1"/>
      <c r="S556" s="1"/>
      <c r="T556" s="1"/>
      <c r="U556" s="32"/>
      <c r="V556" s="1"/>
    </row>
    <row r="557" spans="1:22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32"/>
      <c r="O557" s="1"/>
      <c r="P557" s="1"/>
      <c r="Q557" s="1"/>
      <c r="R557" s="1"/>
      <c r="S557" s="1"/>
      <c r="T557" s="1"/>
      <c r="U557" s="32"/>
      <c r="V557" s="1"/>
    </row>
    <row r="558" spans="1:22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32"/>
      <c r="O558" s="1"/>
      <c r="P558" s="1"/>
      <c r="Q558" s="1"/>
      <c r="R558" s="1"/>
      <c r="S558" s="1"/>
      <c r="T558" s="1"/>
      <c r="U558" s="32"/>
      <c r="V558" s="1"/>
    </row>
    <row r="559" spans="1:22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32"/>
      <c r="O559" s="1"/>
      <c r="P559" s="1"/>
      <c r="Q559" s="1"/>
      <c r="R559" s="1"/>
      <c r="S559" s="1"/>
      <c r="T559" s="1"/>
      <c r="U559" s="32"/>
      <c r="V559" s="1"/>
    </row>
    <row r="560" spans="1:22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32"/>
      <c r="O560" s="1"/>
      <c r="P560" s="1"/>
      <c r="Q560" s="1"/>
      <c r="R560" s="1"/>
      <c r="S560" s="1"/>
      <c r="T560" s="1"/>
      <c r="U560" s="32"/>
      <c r="V560" s="1"/>
    </row>
    <row r="561" spans="1:22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32"/>
      <c r="O561" s="1"/>
      <c r="P561" s="1"/>
      <c r="Q561" s="1"/>
      <c r="R561" s="1"/>
      <c r="S561" s="1"/>
      <c r="T561" s="1"/>
      <c r="U561" s="32"/>
      <c r="V561" s="1"/>
    </row>
    <row r="562" spans="1:22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32"/>
      <c r="O562" s="1"/>
      <c r="P562" s="1"/>
      <c r="Q562" s="1"/>
      <c r="R562" s="1"/>
      <c r="S562" s="1"/>
      <c r="T562" s="1"/>
      <c r="U562" s="32"/>
      <c r="V562" s="1"/>
    </row>
    <row r="563" spans="1:22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32"/>
      <c r="O563" s="1"/>
      <c r="P563" s="1"/>
      <c r="Q563" s="1"/>
      <c r="R563" s="1"/>
      <c r="S563" s="1"/>
      <c r="T563" s="1"/>
      <c r="U563" s="32"/>
      <c r="V563" s="1"/>
    </row>
    <row r="564" spans="1:22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32"/>
      <c r="O564" s="1"/>
      <c r="P564" s="1"/>
      <c r="Q564" s="1"/>
      <c r="R564" s="1"/>
      <c r="S564" s="1"/>
      <c r="T564" s="1"/>
      <c r="U564" s="32"/>
      <c r="V564" s="1"/>
    </row>
    <row r="565" spans="1:22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32"/>
      <c r="O565" s="1"/>
      <c r="P565" s="1"/>
      <c r="Q565" s="1"/>
      <c r="R565" s="1"/>
      <c r="S565" s="1"/>
      <c r="T565" s="1"/>
      <c r="U565" s="32"/>
      <c r="V565" s="1"/>
    </row>
    <row r="566" spans="1:22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32"/>
      <c r="O566" s="1"/>
      <c r="P566" s="1"/>
      <c r="Q566" s="1"/>
      <c r="R566" s="1"/>
      <c r="S566" s="1"/>
      <c r="T566" s="1"/>
      <c r="U566" s="32"/>
      <c r="V566" s="1"/>
    </row>
    <row r="567" spans="1:22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32"/>
      <c r="O567" s="1"/>
      <c r="P567" s="1"/>
      <c r="Q567" s="1"/>
      <c r="R567" s="1"/>
      <c r="S567" s="1"/>
      <c r="T567" s="1"/>
      <c r="U567" s="32"/>
      <c r="V567" s="1"/>
    </row>
    <row r="568" spans="1:22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32"/>
      <c r="O568" s="1"/>
      <c r="P568" s="1"/>
      <c r="Q568" s="1"/>
      <c r="R568" s="1"/>
      <c r="S568" s="1"/>
      <c r="T568" s="1"/>
      <c r="U568" s="32"/>
      <c r="V568" s="1"/>
    </row>
    <row r="569" spans="1:22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32"/>
      <c r="O569" s="1"/>
      <c r="P569" s="1"/>
      <c r="Q569" s="1"/>
      <c r="R569" s="1"/>
      <c r="S569" s="1"/>
      <c r="T569" s="1"/>
      <c r="U569" s="32"/>
      <c r="V569" s="1"/>
    </row>
    <row r="570" spans="1:22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32"/>
      <c r="O570" s="1"/>
      <c r="P570" s="1"/>
      <c r="Q570" s="1"/>
      <c r="R570" s="1"/>
      <c r="S570" s="1"/>
      <c r="T570" s="1"/>
      <c r="U570" s="32"/>
      <c r="V570" s="1"/>
    </row>
    <row r="571" spans="1:22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32"/>
      <c r="O571" s="1"/>
      <c r="P571" s="1"/>
      <c r="Q571" s="1"/>
      <c r="R571" s="1"/>
      <c r="S571" s="1"/>
      <c r="T571" s="1"/>
      <c r="U571" s="32"/>
      <c r="V571" s="1"/>
    </row>
    <row r="572" spans="1:22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32"/>
      <c r="O572" s="1"/>
      <c r="P572" s="1"/>
      <c r="Q572" s="1"/>
      <c r="R572" s="1"/>
      <c r="S572" s="1"/>
      <c r="T572" s="1"/>
      <c r="U572" s="32"/>
      <c r="V572" s="1"/>
    </row>
    <row r="573" spans="1:22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32"/>
      <c r="O573" s="1"/>
      <c r="P573" s="1"/>
      <c r="Q573" s="1"/>
      <c r="R573" s="1"/>
      <c r="S573" s="1"/>
      <c r="T573" s="1"/>
      <c r="U573" s="32"/>
      <c r="V573" s="1"/>
    </row>
    <row r="574" spans="1:22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32"/>
      <c r="O574" s="1"/>
      <c r="P574" s="1"/>
      <c r="Q574" s="1"/>
      <c r="R574" s="1"/>
      <c r="S574" s="1"/>
      <c r="T574" s="1"/>
      <c r="U574" s="32"/>
      <c r="V574" s="1"/>
    </row>
    <row r="575" spans="1:22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32"/>
      <c r="O575" s="1"/>
      <c r="P575" s="1"/>
      <c r="Q575" s="1"/>
      <c r="R575" s="1"/>
      <c r="S575" s="1"/>
      <c r="T575" s="1"/>
      <c r="U575" s="32"/>
      <c r="V575" s="1"/>
    </row>
    <row r="576" spans="1:22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32"/>
      <c r="O576" s="1"/>
      <c r="P576" s="1"/>
      <c r="Q576" s="1"/>
      <c r="R576" s="1"/>
      <c r="S576" s="1"/>
      <c r="T576" s="1"/>
      <c r="U576" s="32"/>
      <c r="V576" s="1"/>
    </row>
    <row r="577" spans="1:22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32"/>
      <c r="O577" s="1"/>
      <c r="P577" s="1"/>
      <c r="Q577" s="1"/>
      <c r="R577" s="1"/>
      <c r="S577" s="1"/>
      <c r="T577" s="1"/>
      <c r="U577" s="32"/>
      <c r="V577" s="1"/>
    </row>
    <row r="578" spans="1:22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32"/>
      <c r="O578" s="1"/>
      <c r="P578" s="1"/>
      <c r="Q578" s="1"/>
      <c r="R578" s="1"/>
      <c r="S578" s="1"/>
      <c r="T578" s="1"/>
      <c r="U578" s="32"/>
      <c r="V578" s="1"/>
    </row>
    <row r="579" spans="1:22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32"/>
      <c r="O579" s="1"/>
      <c r="P579" s="1"/>
      <c r="Q579" s="1"/>
      <c r="R579" s="1"/>
      <c r="S579" s="1"/>
      <c r="T579" s="1"/>
      <c r="U579" s="32"/>
      <c r="V579" s="1"/>
    </row>
    <row r="580" spans="1:22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32"/>
      <c r="O580" s="1"/>
      <c r="P580" s="1"/>
      <c r="Q580" s="1"/>
      <c r="R580" s="1"/>
      <c r="S580" s="1"/>
      <c r="T580" s="1"/>
      <c r="U580" s="32"/>
      <c r="V580" s="1"/>
    </row>
    <row r="581" spans="1:22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32"/>
      <c r="O581" s="1"/>
      <c r="P581" s="1"/>
      <c r="Q581" s="1"/>
      <c r="R581" s="1"/>
      <c r="S581" s="1"/>
      <c r="T581" s="1"/>
      <c r="U581" s="32"/>
      <c r="V581" s="1"/>
    </row>
    <row r="582" spans="1:22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32"/>
      <c r="O582" s="1"/>
      <c r="P582" s="1"/>
      <c r="Q582" s="1"/>
      <c r="R582" s="1"/>
      <c r="S582" s="1"/>
      <c r="T582" s="1"/>
      <c r="U582" s="32"/>
      <c r="V582" s="1"/>
    </row>
    <row r="583" spans="1:22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32"/>
      <c r="O583" s="1"/>
      <c r="P583" s="1"/>
      <c r="Q583" s="1"/>
      <c r="R583" s="1"/>
      <c r="S583" s="1"/>
      <c r="T583" s="1"/>
      <c r="U583" s="32"/>
      <c r="V583" s="1"/>
    </row>
    <row r="584" spans="1:22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32"/>
      <c r="O584" s="1"/>
      <c r="P584" s="1"/>
      <c r="Q584" s="1"/>
      <c r="R584" s="1"/>
      <c r="S584" s="1"/>
      <c r="T584" s="1"/>
      <c r="U584" s="32"/>
      <c r="V584" s="1"/>
    </row>
    <row r="585" spans="1:22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32"/>
      <c r="O585" s="1"/>
      <c r="P585" s="1"/>
      <c r="Q585" s="1"/>
      <c r="R585" s="1"/>
      <c r="S585" s="1"/>
      <c r="T585" s="1"/>
      <c r="U585" s="32"/>
      <c r="V585" s="1"/>
    </row>
    <row r="586" spans="1:22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32"/>
      <c r="O586" s="1"/>
      <c r="P586" s="1"/>
      <c r="Q586" s="1"/>
      <c r="R586" s="1"/>
      <c r="S586" s="1"/>
      <c r="T586" s="1"/>
      <c r="U586" s="32"/>
      <c r="V586" s="1"/>
    </row>
    <row r="587" spans="1:22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32"/>
      <c r="O587" s="1"/>
      <c r="P587" s="1"/>
      <c r="Q587" s="1"/>
      <c r="R587" s="1"/>
      <c r="S587" s="1"/>
      <c r="T587" s="1"/>
      <c r="U587" s="32"/>
      <c r="V587" s="1"/>
    </row>
    <row r="588" spans="1:22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32"/>
      <c r="O588" s="1"/>
      <c r="P588" s="1"/>
      <c r="Q588" s="1"/>
      <c r="R588" s="1"/>
      <c r="S588" s="1"/>
      <c r="T588" s="1"/>
      <c r="U588" s="32"/>
      <c r="V588" s="1"/>
    </row>
    <row r="589" spans="1:22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32"/>
      <c r="O589" s="1"/>
      <c r="P589" s="1"/>
      <c r="Q589" s="1"/>
      <c r="R589" s="1"/>
      <c r="S589" s="1"/>
      <c r="T589" s="1"/>
      <c r="U589" s="32"/>
      <c r="V589" s="1"/>
    </row>
    <row r="590" spans="1:22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32"/>
      <c r="O590" s="1"/>
      <c r="P590" s="1"/>
      <c r="Q590" s="1"/>
      <c r="R590" s="1"/>
      <c r="S590" s="1"/>
      <c r="T590" s="1"/>
      <c r="U590" s="32"/>
      <c r="V590" s="1"/>
    </row>
    <row r="591" spans="1:22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32"/>
      <c r="O591" s="1"/>
      <c r="P591" s="1"/>
      <c r="Q591" s="1"/>
      <c r="R591" s="1"/>
      <c r="S591" s="1"/>
      <c r="T591" s="1"/>
      <c r="U591" s="32"/>
      <c r="V591" s="1"/>
    </row>
    <row r="592" spans="1:22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32"/>
      <c r="O592" s="1"/>
      <c r="P592" s="1"/>
      <c r="Q592" s="1"/>
      <c r="R592" s="1"/>
      <c r="S592" s="1"/>
      <c r="T592" s="1"/>
      <c r="U592" s="32"/>
      <c r="V592" s="1"/>
    </row>
    <row r="593" spans="1:22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32"/>
      <c r="O593" s="1"/>
      <c r="P593" s="1"/>
      <c r="Q593" s="1"/>
      <c r="R593" s="1"/>
      <c r="S593" s="1"/>
      <c r="T593" s="1"/>
      <c r="U593" s="32"/>
      <c r="V593" s="1"/>
    </row>
    <row r="594" spans="1:22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32"/>
      <c r="O594" s="1"/>
      <c r="P594" s="1"/>
      <c r="Q594" s="1"/>
      <c r="R594" s="1"/>
      <c r="S594" s="1"/>
      <c r="T594" s="1"/>
      <c r="U594" s="32"/>
      <c r="V594" s="1"/>
    </row>
    <row r="595" spans="1:22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32"/>
      <c r="O595" s="1"/>
      <c r="P595" s="1"/>
      <c r="Q595" s="1"/>
      <c r="R595" s="1"/>
      <c r="S595" s="1"/>
      <c r="T595" s="1"/>
      <c r="U595" s="32"/>
      <c r="V595" s="1"/>
    </row>
    <row r="596" spans="1:22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32"/>
      <c r="O596" s="1"/>
      <c r="P596" s="1"/>
      <c r="Q596" s="1"/>
      <c r="R596" s="1"/>
      <c r="S596" s="1"/>
      <c r="T596" s="1"/>
      <c r="U596" s="32"/>
      <c r="V596" s="1"/>
    </row>
    <row r="597" spans="1:22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32"/>
      <c r="O597" s="1"/>
      <c r="P597" s="1"/>
      <c r="Q597" s="1"/>
      <c r="R597" s="1"/>
      <c r="S597" s="1"/>
      <c r="T597" s="1"/>
      <c r="U597" s="32"/>
      <c r="V597" s="1"/>
    </row>
    <row r="598" spans="1:22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32"/>
      <c r="O598" s="1"/>
      <c r="P598" s="1"/>
      <c r="Q598" s="1"/>
      <c r="R598" s="1"/>
      <c r="S598" s="1"/>
      <c r="T598" s="1"/>
      <c r="U598" s="32"/>
      <c r="V598" s="1"/>
    </row>
    <row r="599" spans="1:22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32"/>
      <c r="O599" s="1"/>
      <c r="P599" s="1"/>
      <c r="Q599" s="1"/>
      <c r="R599" s="1"/>
      <c r="S599" s="1"/>
      <c r="T599" s="1"/>
      <c r="U599" s="32"/>
      <c r="V599" s="1"/>
    </row>
    <row r="600" spans="1:22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32"/>
      <c r="O600" s="1"/>
      <c r="P600" s="1"/>
      <c r="Q600" s="1"/>
      <c r="R600" s="1"/>
      <c r="S600" s="1"/>
      <c r="T600" s="1"/>
      <c r="U600" s="32"/>
      <c r="V600" s="1"/>
    </row>
    <row r="601" spans="1:22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32"/>
      <c r="O601" s="1"/>
      <c r="P601" s="1"/>
      <c r="Q601" s="1"/>
      <c r="R601" s="1"/>
      <c r="S601" s="1"/>
      <c r="T601" s="1"/>
      <c r="U601" s="32"/>
      <c r="V601" s="1"/>
    </row>
    <row r="602" spans="1:22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32"/>
      <c r="O602" s="1"/>
      <c r="P602" s="1"/>
      <c r="Q602" s="1"/>
      <c r="R602" s="1"/>
      <c r="S602" s="1"/>
      <c r="T602" s="1"/>
      <c r="U602" s="32"/>
      <c r="V602" s="1"/>
    </row>
    <row r="603" spans="1:22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32"/>
      <c r="O603" s="1"/>
      <c r="P603" s="1"/>
      <c r="Q603" s="1"/>
      <c r="R603" s="1"/>
      <c r="S603" s="1"/>
      <c r="T603" s="1"/>
      <c r="U603" s="32"/>
      <c r="V603" s="1"/>
    </row>
    <row r="604" spans="1:22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32"/>
      <c r="O604" s="1"/>
      <c r="P604" s="1"/>
      <c r="Q604" s="1"/>
      <c r="R604" s="1"/>
      <c r="S604" s="1"/>
      <c r="T604" s="1"/>
      <c r="U604" s="32"/>
      <c r="V604" s="1"/>
    </row>
    <row r="605" spans="1:22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32"/>
      <c r="O605" s="1"/>
      <c r="P605" s="1"/>
      <c r="Q605" s="1"/>
      <c r="R605" s="1"/>
      <c r="S605" s="1"/>
      <c r="T605" s="1"/>
      <c r="U605" s="32"/>
      <c r="V605" s="1"/>
    </row>
    <row r="606" spans="1:22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32"/>
      <c r="O606" s="1"/>
      <c r="P606" s="1"/>
      <c r="Q606" s="1"/>
      <c r="R606" s="1"/>
      <c r="S606" s="1"/>
      <c r="T606" s="1"/>
      <c r="U606" s="32"/>
      <c r="V606" s="1"/>
    </row>
    <row r="607" spans="1:22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32"/>
      <c r="O607" s="1"/>
      <c r="P607" s="1"/>
      <c r="Q607" s="1"/>
      <c r="R607" s="1"/>
      <c r="S607" s="1"/>
      <c r="T607" s="1"/>
      <c r="U607" s="32"/>
      <c r="V607" s="1"/>
    </row>
    <row r="608" spans="1:22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32"/>
      <c r="O608" s="1"/>
      <c r="P608" s="1"/>
      <c r="Q608" s="1"/>
      <c r="R608" s="1"/>
      <c r="S608" s="1"/>
      <c r="T608" s="1"/>
      <c r="U608" s="32"/>
      <c r="V608" s="1"/>
    </row>
    <row r="609" spans="1:22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32"/>
      <c r="O609" s="1"/>
      <c r="P609" s="1"/>
      <c r="Q609" s="1"/>
      <c r="R609" s="1"/>
      <c r="S609" s="1"/>
      <c r="T609" s="1"/>
      <c r="U609" s="32"/>
      <c r="V609" s="1"/>
    </row>
    <row r="610" spans="1:22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32"/>
      <c r="O610" s="1"/>
      <c r="P610" s="1"/>
      <c r="Q610" s="1"/>
      <c r="R610" s="1"/>
      <c r="S610" s="1"/>
      <c r="T610" s="1"/>
      <c r="U610" s="32"/>
      <c r="V610" s="1"/>
    </row>
    <row r="611" spans="1:22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32"/>
      <c r="O611" s="1"/>
      <c r="P611" s="1"/>
      <c r="Q611" s="1"/>
      <c r="R611" s="1"/>
      <c r="S611" s="1"/>
      <c r="T611" s="1"/>
      <c r="U611" s="32"/>
      <c r="V611" s="1"/>
    </row>
    <row r="612" spans="1:22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32"/>
      <c r="O612" s="1"/>
      <c r="P612" s="1"/>
      <c r="Q612" s="1"/>
      <c r="R612" s="1"/>
      <c r="S612" s="1"/>
      <c r="T612" s="1"/>
      <c r="U612" s="32"/>
      <c r="V612" s="1"/>
    </row>
    <row r="613" spans="1:22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32"/>
      <c r="O613" s="1"/>
      <c r="P613" s="1"/>
      <c r="Q613" s="1"/>
      <c r="R613" s="1"/>
      <c r="S613" s="1"/>
      <c r="T613" s="1"/>
      <c r="U613" s="32"/>
      <c r="V613" s="1"/>
    </row>
    <row r="614" spans="1:22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32"/>
      <c r="O614" s="1"/>
      <c r="P614" s="1"/>
      <c r="Q614" s="1"/>
      <c r="R614" s="1"/>
      <c r="S614" s="1"/>
      <c r="T614" s="1"/>
      <c r="U614" s="32"/>
      <c r="V614" s="1"/>
    </row>
    <row r="615" spans="1:22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32"/>
      <c r="O615" s="1"/>
      <c r="P615" s="1"/>
      <c r="Q615" s="1"/>
      <c r="R615" s="1"/>
      <c r="S615" s="1"/>
      <c r="T615" s="1"/>
      <c r="U615" s="32"/>
      <c r="V615" s="1"/>
    </row>
    <row r="616" spans="1:22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32"/>
      <c r="O616" s="1"/>
      <c r="P616" s="1"/>
      <c r="Q616" s="1"/>
      <c r="R616" s="1"/>
      <c r="S616" s="1"/>
      <c r="T616" s="1"/>
      <c r="U616" s="32"/>
      <c r="V616" s="1"/>
    </row>
    <row r="617" spans="1:22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32"/>
      <c r="O617" s="1"/>
      <c r="P617" s="1"/>
      <c r="Q617" s="1"/>
      <c r="R617" s="1"/>
      <c r="S617" s="1"/>
      <c r="T617" s="1"/>
      <c r="U617" s="32"/>
      <c r="V617" s="1"/>
    </row>
    <row r="618" spans="1:22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32"/>
      <c r="O618" s="1"/>
      <c r="P618" s="1"/>
      <c r="Q618" s="1"/>
      <c r="R618" s="1"/>
      <c r="S618" s="1"/>
      <c r="T618" s="1"/>
      <c r="U618" s="32"/>
      <c r="V618" s="1"/>
    </row>
    <row r="619" spans="1:22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32"/>
      <c r="O619" s="1"/>
      <c r="P619" s="1"/>
      <c r="Q619" s="1"/>
      <c r="R619" s="1"/>
      <c r="S619" s="1"/>
      <c r="T619" s="1"/>
      <c r="U619" s="32"/>
      <c r="V619" s="1"/>
    </row>
    <row r="620" spans="1:22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32"/>
      <c r="O620" s="1"/>
      <c r="P620" s="1"/>
      <c r="Q620" s="1"/>
      <c r="R620" s="1"/>
      <c r="S620" s="1"/>
      <c r="T620" s="1"/>
      <c r="U620" s="32"/>
      <c r="V620" s="1"/>
    </row>
    <row r="621" spans="1:22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32"/>
      <c r="O621" s="1"/>
      <c r="P621" s="1"/>
      <c r="Q621" s="1"/>
      <c r="R621" s="1"/>
      <c r="S621" s="1"/>
      <c r="T621" s="1"/>
      <c r="U621" s="32"/>
      <c r="V621" s="1"/>
    </row>
    <row r="622" spans="1:22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32"/>
      <c r="O622" s="1"/>
      <c r="P622" s="1"/>
      <c r="Q622" s="1"/>
      <c r="R622" s="1"/>
      <c r="S622" s="1"/>
      <c r="T622" s="1"/>
      <c r="U622" s="32"/>
      <c r="V622" s="1"/>
    </row>
    <row r="623" spans="1:22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32"/>
      <c r="O623" s="1"/>
      <c r="P623" s="1"/>
      <c r="Q623" s="1"/>
      <c r="R623" s="1"/>
      <c r="S623" s="1"/>
      <c r="T623" s="1"/>
      <c r="U623" s="32"/>
      <c r="V623" s="1"/>
    </row>
    <row r="624" spans="1:22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32"/>
      <c r="O624" s="1"/>
      <c r="P624" s="1"/>
      <c r="Q624" s="1"/>
      <c r="R624" s="1"/>
      <c r="S624" s="1"/>
      <c r="T624" s="1"/>
      <c r="U624" s="32"/>
      <c r="V624" s="1"/>
    </row>
    <row r="625" spans="1:22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32"/>
      <c r="O625" s="1"/>
      <c r="P625" s="1"/>
      <c r="Q625" s="1"/>
      <c r="R625" s="1"/>
      <c r="S625" s="1"/>
      <c r="T625" s="1"/>
      <c r="U625" s="32"/>
      <c r="V625" s="1"/>
    </row>
    <row r="626" spans="1:22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32"/>
      <c r="O626" s="1"/>
      <c r="P626" s="1"/>
      <c r="Q626" s="1"/>
      <c r="R626" s="1"/>
      <c r="S626" s="1"/>
      <c r="T626" s="1"/>
      <c r="U626" s="32"/>
      <c r="V626" s="1"/>
    </row>
    <row r="627" spans="1:22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32"/>
      <c r="O627" s="1"/>
      <c r="P627" s="1"/>
      <c r="Q627" s="1"/>
      <c r="R627" s="1"/>
      <c r="S627" s="1"/>
      <c r="T627" s="1"/>
      <c r="U627" s="32"/>
      <c r="V627" s="1"/>
    </row>
    <row r="628" spans="1:22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32"/>
      <c r="O628" s="1"/>
      <c r="P628" s="1"/>
      <c r="Q628" s="1"/>
      <c r="R628" s="1"/>
      <c r="S628" s="1"/>
      <c r="T628" s="1"/>
      <c r="U628" s="32"/>
      <c r="V628" s="1"/>
    </row>
    <row r="629" spans="1:22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32"/>
      <c r="O629" s="1"/>
      <c r="P629" s="1"/>
      <c r="Q629" s="1"/>
      <c r="R629" s="1"/>
      <c r="S629" s="1"/>
      <c r="T629" s="1"/>
      <c r="U629" s="32"/>
      <c r="V629" s="1"/>
    </row>
    <row r="630" spans="1:22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32"/>
      <c r="O630" s="1"/>
      <c r="P630" s="1"/>
      <c r="Q630" s="1"/>
      <c r="R630" s="1"/>
      <c r="S630" s="1"/>
      <c r="T630" s="1"/>
      <c r="U630" s="32"/>
      <c r="V630" s="1"/>
    </row>
    <row r="631" spans="1:22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32"/>
      <c r="O631" s="1"/>
      <c r="P631" s="1"/>
      <c r="Q631" s="1"/>
      <c r="R631" s="1"/>
      <c r="S631" s="1"/>
      <c r="T631" s="1"/>
      <c r="U631" s="32"/>
      <c r="V631" s="1"/>
    </row>
    <row r="632" spans="1:22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32"/>
      <c r="O632" s="1"/>
      <c r="P632" s="1"/>
      <c r="Q632" s="1"/>
      <c r="R632" s="1"/>
      <c r="S632" s="1"/>
      <c r="T632" s="1"/>
      <c r="U632" s="32"/>
      <c r="V632" s="1"/>
    </row>
    <row r="633" spans="1:22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32"/>
      <c r="O633" s="1"/>
      <c r="P633" s="1"/>
      <c r="Q633" s="1"/>
      <c r="R633" s="1"/>
      <c r="S633" s="1"/>
      <c r="T633" s="1"/>
      <c r="U633" s="32"/>
      <c r="V633" s="1"/>
    </row>
    <row r="634" spans="1:22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32"/>
      <c r="O634" s="1"/>
      <c r="P634" s="1"/>
      <c r="Q634" s="1"/>
      <c r="R634" s="1"/>
      <c r="S634" s="1"/>
      <c r="T634" s="1"/>
      <c r="U634" s="32"/>
      <c r="V634" s="1"/>
    </row>
    <row r="635" spans="1:22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32"/>
      <c r="O635" s="1"/>
      <c r="P635" s="1"/>
      <c r="Q635" s="1"/>
      <c r="R635" s="1"/>
      <c r="S635" s="1"/>
      <c r="T635" s="1"/>
      <c r="U635" s="32"/>
      <c r="V635" s="1"/>
    </row>
    <row r="636" spans="1:22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32"/>
      <c r="O636" s="1"/>
      <c r="P636" s="1"/>
      <c r="Q636" s="1"/>
      <c r="R636" s="1"/>
      <c r="S636" s="1"/>
      <c r="T636" s="1"/>
      <c r="U636" s="32"/>
      <c r="V636" s="1"/>
    </row>
    <row r="637" spans="1:22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32"/>
      <c r="O637" s="1"/>
      <c r="P637" s="1"/>
      <c r="Q637" s="1"/>
      <c r="R637" s="1"/>
      <c r="S637" s="1"/>
      <c r="T637" s="1"/>
      <c r="U637" s="32"/>
      <c r="V637" s="1"/>
    </row>
    <row r="638" spans="1:22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32"/>
      <c r="O638" s="1"/>
      <c r="P638" s="1"/>
      <c r="Q638" s="1"/>
      <c r="R638" s="1"/>
      <c r="S638" s="1"/>
      <c r="T638" s="1"/>
      <c r="U638" s="32"/>
      <c r="V638" s="1"/>
    </row>
    <row r="639" spans="1:22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32"/>
      <c r="O639" s="1"/>
      <c r="P639" s="1"/>
      <c r="Q639" s="1"/>
      <c r="R639" s="1"/>
      <c r="S639" s="1"/>
      <c r="T639" s="1"/>
      <c r="U639" s="32"/>
      <c r="V639" s="1"/>
    </row>
    <row r="640" spans="1:22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32"/>
      <c r="O640" s="1"/>
      <c r="P640" s="1"/>
      <c r="Q640" s="1"/>
      <c r="R640" s="1"/>
      <c r="S640" s="1"/>
      <c r="T640" s="1"/>
      <c r="U640" s="32"/>
      <c r="V640" s="1"/>
    </row>
    <row r="641" spans="1:22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32"/>
      <c r="O641" s="1"/>
      <c r="P641" s="1"/>
      <c r="Q641" s="1"/>
      <c r="R641" s="1"/>
      <c r="S641" s="1"/>
      <c r="T641" s="1"/>
      <c r="U641" s="32"/>
      <c r="V641" s="1"/>
    </row>
    <row r="642" spans="1:22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32"/>
      <c r="O642" s="1"/>
      <c r="P642" s="1"/>
      <c r="Q642" s="1"/>
      <c r="R642" s="1"/>
      <c r="S642" s="1"/>
      <c r="T642" s="1"/>
      <c r="U642" s="32"/>
      <c r="V642" s="1"/>
    </row>
    <row r="643" spans="1:22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32"/>
      <c r="O643" s="1"/>
      <c r="P643" s="1"/>
      <c r="Q643" s="1"/>
      <c r="R643" s="1"/>
      <c r="S643" s="1"/>
      <c r="T643" s="1"/>
      <c r="U643" s="32"/>
      <c r="V643" s="1"/>
    </row>
    <row r="644" spans="1:22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32"/>
      <c r="O644" s="1"/>
      <c r="P644" s="1"/>
      <c r="Q644" s="1"/>
      <c r="R644" s="1"/>
      <c r="S644" s="1"/>
      <c r="T644" s="1"/>
      <c r="U644" s="32"/>
      <c r="V644" s="1"/>
    </row>
    <row r="645" spans="1:22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32"/>
      <c r="O645" s="1"/>
      <c r="P645" s="1"/>
      <c r="Q645" s="1"/>
      <c r="R645" s="1"/>
      <c r="S645" s="1"/>
      <c r="T645" s="1"/>
      <c r="U645" s="32"/>
      <c r="V645" s="1"/>
    </row>
    <row r="646" spans="1:22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32"/>
      <c r="O646" s="1"/>
      <c r="P646" s="1"/>
      <c r="Q646" s="1"/>
      <c r="R646" s="1"/>
      <c r="S646" s="1"/>
      <c r="T646" s="1"/>
      <c r="U646" s="32"/>
      <c r="V646" s="1"/>
    </row>
    <row r="647" spans="1:22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32"/>
      <c r="O647" s="1"/>
      <c r="P647" s="1"/>
      <c r="Q647" s="1"/>
      <c r="R647" s="1"/>
      <c r="S647" s="1"/>
      <c r="T647" s="1"/>
      <c r="U647" s="32"/>
      <c r="V647" s="1"/>
    </row>
    <row r="648" spans="1:22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32"/>
      <c r="O648" s="1"/>
      <c r="P648" s="1"/>
      <c r="Q648" s="1"/>
      <c r="R648" s="1"/>
      <c r="S648" s="1"/>
      <c r="T648" s="1"/>
      <c r="U648" s="32"/>
      <c r="V648" s="1"/>
    </row>
    <row r="649" spans="1:22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32"/>
      <c r="O649" s="1"/>
      <c r="P649" s="1"/>
      <c r="Q649" s="1"/>
      <c r="R649" s="1"/>
      <c r="S649" s="1"/>
      <c r="T649" s="1"/>
      <c r="U649" s="32"/>
      <c r="V649" s="1"/>
    </row>
    <row r="650" spans="1:22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32"/>
      <c r="O650" s="1"/>
      <c r="P650" s="1"/>
      <c r="Q650" s="1"/>
      <c r="R650" s="1"/>
      <c r="S650" s="1"/>
      <c r="T650" s="1"/>
      <c r="U650" s="32"/>
      <c r="V650" s="1"/>
    </row>
    <row r="651" spans="1:22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32"/>
      <c r="O651" s="1"/>
      <c r="P651" s="1"/>
      <c r="Q651" s="1"/>
      <c r="R651" s="1"/>
      <c r="S651" s="1"/>
      <c r="T651" s="1"/>
      <c r="U651" s="32"/>
      <c r="V651" s="1"/>
    </row>
    <row r="652" spans="1:22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32"/>
      <c r="O652" s="1"/>
      <c r="P652" s="1"/>
      <c r="Q652" s="1"/>
      <c r="R652" s="1"/>
      <c r="S652" s="1"/>
      <c r="T652" s="1"/>
      <c r="U652" s="32"/>
      <c r="V652" s="1"/>
    </row>
    <row r="653" spans="1:22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32"/>
      <c r="O653" s="1"/>
      <c r="P653" s="1"/>
      <c r="Q653" s="1"/>
      <c r="R653" s="1"/>
      <c r="S653" s="1"/>
      <c r="T653" s="1"/>
      <c r="U653" s="32"/>
      <c r="V653" s="1"/>
    </row>
    <row r="654" spans="1:22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32"/>
      <c r="O654" s="1"/>
      <c r="P654" s="1"/>
      <c r="Q654" s="1"/>
      <c r="R654" s="1"/>
      <c r="S654" s="1"/>
      <c r="T654" s="1"/>
      <c r="U654" s="32"/>
      <c r="V654" s="1"/>
    </row>
    <row r="655" spans="1:22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32"/>
      <c r="O655" s="1"/>
      <c r="P655" s="1"/>
      <c r="Q655" s="1"/>
      <c r="R655" s="1"/>
      <c r="S655" s="1"/>
      <c r="T655" s="1"/>
      <c r="U655" s="32"/>
      <c r="V655" s="1"/>
    </row>
    <row r="656" spans="1:22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32"/>
      <c r="O656" s="1"/>
      <c r="P656" s="1"/>
      <c r="Q656" s="1"/>
      <c r="R656" s="1"/>
      <c r="S656" s="1"/>
      <c r="T656" s="1"/>
      <c r="U656" s="32"/>
      <c r="V656" s="1"/>
    </row>
    <row r="657" spans="1:22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32"/>
      <c r="O657" s="1"/>
      <c r="P657" s="1"/>
      <c r="Q657" s="1"/>
      <c r="R657" s="1"/>
      <c r="S657" s="1"/>
      <c r="T657" s="1"/>
      <c r="U657" s="32"/>
      <c r="V657" s="1"/>
    </row>
    <row r="658" spans="1:22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32"/>
      <c r="O658" s="1"/>
      <c r="P658" s="1"/>
      <c r="Q658" s="1"/>
      <c r="R658" s="1"/>
      <c r="S658" s="1"/>
      <c r="T658" s="1"/>
      <c r="U658" s="32"/>
      <c r="V658" s="1"/>
    </row>
    <row r="659" spans="1:22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32"/>
      <c r="O659" s="1"/>
      <c r="P659" s="1"/>
      <c r="Q659" s="1"/>
      <c r="R659" s="1"/>
      <c r="S659" s="1"/>
      <c r="T659" s="1"/>
      <c r="U659" s="32"/>
      <c r="V659" s="1"/>
    </row>
    <row r="660" spans="1:22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32"/>
      <c r="O660" s="1"/>
      <c r="P660" s="1"/>
      <c r="Q660" s="1"/>
      <c r="R660" s="1"/>
      <c r="S660" s="1"/>
      <c r="T660" s="1"/>
      <c r="U660" s="32"/>
      <c r="V660" s="1"/>
    </row>
    <row r="661" spans="1:22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32"/>
      <c r="O661" s="1"/>
      <c r="P661" s="1"/>
      <c r="Q661" s="1"/>
      <c r="R661" s="1"/>
      <c r="S661" s="1"/>
      <c r="T661" s="1"/>
      <c r="U661" s="32"/>
      <c r="V661" s="1"/>
    </row>
    <row r="662" spans="1:22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32"/>
      <c r="O662" s="1"/>
      <c r="P662" s="1"/>
      <c r="Q662" s="1"/>
      <c r="R662" s="1"/>
      <c r="S662" s="1"/>
      <c r="T662" s="1"/>
      <c r="U662" s="32"/>
      <c r="V662" s="1"/>
    </row>
    <row r="663" spans="1:22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32"/>
      <c r="O663" s="1"/>
      <c r="P663" s="1"/>
      <c r="Q663" s="1"/>
      <c r="R663" s="1"/>
      <c r="S663" s="1"/>
      <c r="T663" s="1"/>
      <c r="U663" s="32"/>
      <c r="V663" s="1"/>
    </row>
    <row r="664" spans="1:22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32"/>
      <c r="O664" s="1"/>
      <c r="P664" s="1"/>
      <c r="Q664" s="1"/>
      <c r="R664" s="1"/>
      <c r="S664" s="1"/>
      <c r="T664" s="1"/>
      <c r="U664" s="32"/>
      <c r="V664" s="1"/>
    </row>
    <row r="665" spans="1:22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32"/>
      <c r="O665" s="1"/>
      <c r="P665" s="1"/>
      <c r="Q665" s="1"/>
      <c r="R665" s="1"/>
      <c r="S665" s="1"/>
      <c r="T665" s="1"/>
      <c r="U665" s="32"/>
      <c r="V665" s="1"/>
    </row>
    <row r="666" spans="1:22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32"/>
      <c r="O666" s="1"/>
      <c r="P666" s="1"/>
      <c r="Q666" s="1"/>
      <c r="R666" s="1"/>
      <c r="S666" s="1"/>
      <c r="T666" s="1"/>
      <c r="U666" s="32"/>
      <c r="V666" s="1"/>
    </row>
    <row r="667" spans="1:22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32"/>
      <c r="O667" s="1"/>
      <c r="P667" s="1"/>
      <c r="Q667" s="1"/>
      <c r="R667" s="1"/>
      <c r="S667" s="1"/>
      <c r="T667" s="1"/>
      <c r="U667" s="32"/>
      <c r="V667" s="1"/>
    </row>
    <row r="668" spans="1:22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32"/>
      <c r="O668" s="1"/>
      <c r="P668" s="1"/>
      <c r="Q668" s="1"/>
      <c r="R668" s="1"/>
      <c r="S668" s="1"/>
      <c r="T668" s="1"/>
      <c r="U668" s="32"/>
      <c r="V668" s="1"/>
    </row>
    <row r="669" spans="1:22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32"/>
      <c r="O669" s="1"/>
      <c r="P669" s="1"/>
      <c r="Q669" s="1"/>
      <c r="R669" s="1"/>
      <c r="S669" s="1"/>
      <c r="T669" s="1"/>
      <c r="U669" s="32"/>
      <c r="V669" s="1"/>
    </row>
    <row r="670" spans="1:22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32"/>
      <c r="O670" s="1"/>
      <c r="P670" s="1"/>
      <c r="Q670" s="1"/>
      <c r="R670" s="1"/>
      <c r="S670" s="1"/>
      <c r="T670" s="1"/>
      <c r="U670" s="32"/>
      <c r="V670" s="1"/>
    </row>
    <row r="671" spans="1:22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32"/>
      <c r="O671" s="1"/>
      <c r="P671" s="1"/>
      <c r="Q671" s="1"/>
      <c r="R671" s="1"/>
      <c r="S671" s="1"/>
      <c r="T671" s="1"/>
      <c r="U671" s="32"/>
      <c r="V671" s="1"/>
    </row>
    <row r="672" spans="1:22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32"/>
      <c r="O672" s="1"/>
      <c r="P672" s="1"/>
      <c r="Q672" s="1"/>
      <c r="R672" s="1"/>
      <c r="S672" s="1"/>
      <c r="T672" s="1"/>
      <c r="U672" s="32"/>
      <c r="V672" s="1"/>
    </row>
    <row r="673" spans="1:22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32"/>
      <c r="O673" s="1"/>
      <c r="P673" s="1"/>
      <c r="Q673" s="1"/>
      <c r="R673" s="1"/>
      <c r="S673" s="1"/>
      <c r="T673" s="1"/>
      <c r="U673" s="32"/>
      <c r="V673" s="1"/>
    </row>
    <row r="674" spans="1:22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32"/>
      <c r="O674" s="1"/>
      <c r="P674" s="1"/>
      <c r="Q674" s="1"/>
      <c r="R674" s="1"/>
      <c r="S674" s="1"/>
      <c r="T674" s="1"/>
      <c r="U674" s="32"/>
      <c r="V674" s="1"/>
    </row>
    <row r="675" spans="1:22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32"/>
      <c r="O675" s="1"/>
      <c r="P675" s="1"/>
      <c r="Q675" s="1"/>
      <c r="R675" s="1"/>
      <c r="S675" s="1"/>
      <c r="T675" s="1"/>
      <c r="U675" s="32"/>
      <c r="V675" s="1"/>
    </row>
    <row r="676" spans="1:22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32"/>
      <c r="O676" s="1"/>
      <c r="P676" s="1"/>
      <c r="Q676" s="1"/>
      <c r="R676" s="1"/>
      <c r="S676" s="1"/>
      <c r="T676" s="1"/>
      <c r="U676" s="32"/>
      <c r="V676" s="1"/>
    </row>
    <row r="677" spans="1:22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32"/>
      <c r="O677" s="1"/>
      <c r="P677" s="1"/>
      <c r="Q677" s="1"/>
      <c r="R677" s="1"/>
      <c r="S677" s="1"/>
      <c r="T677" s="1"/>
      <c r="U677" s="32"/>
      <c r="V677" s="1"/>
    </row>
    <row r="678" spans="1:22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32"/>
      <c r="O678" s="1"/>
      <c r="P678" s="1"/>
      <c r="Q678" s="1"/>
      <c r="R678" s="1"/>
      <c r="S678" s="1"/>
      <c r="T678" s="1"/>
      <c r="U678" s="32"/>
      <c r="V678" s="1"/>
    </row>
    <row r="679" spans="1:22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32"/>
      <c r="O679" s="1"/>
      <c r="P679" s="1"/>
      <c r="Q679" s="1"/>
      <c r="R679" s="1"/>
      <c r="S679" s="1"/>
      <c r="T679" s="1"/>
      <c r="U679" s="32"/>
      <c r="V679" s="1"/>
    </row>
    <row r="680" spans="1:22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32"/>
      <c r="O680" s="1"/>
      <c r="P680" s="1"/>
      <c r="Q680" s="1"/>
      <c r="R680" s="1"/>
      <c r="S680" s="1"/>
      <c r="T680" s="1"/>
      <c r="U680" s="32"/>
      <c r="V680" s="1"/>
    </row>
    <row r="681" spans="1:22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32"/>
      <c r="O681" s="1"/>
      <c r="P681" s="1"/>
      <c r="Q681" s="1"/>
      <c r="R681" s="1"/>
      <c r="S681" s="1"/>
      <c r="T681" s="1"/>
      <c r="U681" s="32"/>
      <c r="V681" s="1"/>
    </row>
    <row r="682" spans="1:22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32"/>
      <c r="O682" s="1"/>
      <c r="P682" s="1"/>
      <c r="Q682" s="1"/>
      <c r="R682" s="1"/>
      <c r="S682" s="1"/>
      <c r="T682" s="1"/>
      <c r="U682" s="32"/>
      <c r="V682" s="1"/>
    </row>
    <row r="683" spans="1:22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32"/>
      <c r="O683" s="1"/>
      <c r="P683" s="1"/>
      <c r="Q683" s="1"/>
      <c r="R683" s="1"/>
      <c r="S683" s="1"/>
      <c r="T683" s="1"/>
      <c r="U683" s="32"/>
      <c r="V683" s="1"/>
    </row>
    <row r="684" spans="1:22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32"/>
      <c r="O684" s="1"/>
      <c r="P684" s="1"/>
      <c r="Q684" s="1"/>
      <c r="R684" s="1"/>
      <c r="S684" s="1"/>
      <c r="T684" s="1"/>
      <c r="U684" s="32"/>
      <c r="V684" s="1"/>
    </row>
    <row r="685" spans="1:22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32"/>
      <c r="O685" s="1"/>
      <c r="P685" s="1"/>
      <c r="Q685" s="1"/>
      <c r="R685" s="1"/>
      <c r="S685" s="1"/>
      <c r="T685" s="1"/>
      <c r="U685" s="32"/>
      <c r="V685" s="1"/>
    </row>
    <row r="686" spans="1:22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32"/>
      <c r="O686" s="1"/>
      <c r="P686" s="1"/>
      <c r="Q686" s="1"/>
      <c r="R686" s="1"/>
      <c r="S686" s="1"/>
      <c r="T686" s="1"/>
      <c r="U686" s="32"/>
      <c r="V686" s="1"/>
    </row>
    <row r="687" spans="1:22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32"/>
      <c r="O687" s="1"/>
      <c r="P687" s="1"/>
      <c r="Q687" s="1"/>
      <c r="R687" s="1"/>
      <c r="S687" s="1"/>
      <c r="T687" s="1"/>
      <c r="U687" s="32"/>
      <c r="V687" s="1"/>
    </row>
    <row r="688" spans="1:22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32"/>
      <c r="O688" s="1"/>
      <c r="P688" s="1"/>
      <c r="Q688" s="1"/>
      <c r="R688" s="1"/>
      <c r="S688" s="1"/>
      <c r="T688" s="1"/>
      <c r="U688" s="32"/>
      <c r="V688" s="1"/>
    </row>
    <row r="689" spans="1:22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32"/>
      <c r="O689" s="1"/>
      <c r="P689" s="1"/>
      <c r="Q689" s="1"/>
      <c r="R689" s="1"/>
      <c r="S689" s="1"/>
      <c r="T689" s="1"/>
      <c r="U689" s="32"/>
      <c r="V689" s="1"/>
    </row>
    <row r="690" spans="1:22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32"/>
      <c r="O690" s="1"/>
      <c r="P690" s="1"/>
      <c r="Q690" s="1"/>
      <c r="R690" s="1"/>
      <c r="S690" s="1"/>
      <c r="T690" s="1"/>
      <c r="U690" s="32"/>
      <c r="V690" s="1"/>
    </row>
    <row r="691" spans="1:22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32"/>
      <c r="O691" s="1"/>
      <c r="P691" s="1"/>
      <c r="Q691" s="1"/>
      <c r="R691" s="1"/>
      <c r="S691" s="1"/>
      <c r="T691" s="1"/>
      <c r="U691" s="32"/>
      <c r="V691" s="1"/>
    </row>
    <row r="692" spans="1:22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32"/>
      <c r="O692" s="1"/>
      <c r="P692" s="1"/>
      <c r="Q692" s="1"/>
      <c r="R692" s="1"/>
      <c r="S692" s="1"/>
      <c r="T692" s="1"/>
      <c r="U692" s="32"/>
      <c r="V692" s="1"/>
    </row>
    <row r="693" spans="1:22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32"/>
      <c r="O693" s="1"/>
      <c r="P693" s="1"/>
      <c r="Q693" s="1"/>
      <c r="R693" s="1"/>
      <c r="S693" s="1"/>
      <c r="T693" s="1"/>
      <c r="U693" s="32"/>
      <c r="V693" s="1"/>
    </row>
    <row r="694" spans="1:22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32"/>
      <c r="O694" s="1"/>
      <c r="P694" s="1"/>
      <c r="Q694" s="1"/>
      <c r="R694" s="1"/>
      <c r="S694" s="1"/>
      <c r="T694" s="1"/>
      <c r="U694" s="32"/>
      <c r="V694" s="1"/>
    </row>
    <row r="695" spans="1:22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32"/>
      <c r="O695" s="1"/>
      <c r="P695" s="1"/>
      <c r="Q695" s="1"/>
      <c r="R695" s="1"/>
      <c r="S695" s="1"/>
      <c r="T695" s="1"/>
      <c r="U695" s="32"/>
      <c r="V695" s="1"/>
    </row>
    <row r="696" spans="1:22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32"/>
      <c r="O696" s="1"/>
      <c r="P696" s="1"/>
      <c r="Q696" s="1"/>
      <c r="R696" s="1"/>
      <c r="S696" s="1"/>
      <c r="T696" s="1"/>
      <c r="U696" s="32"/>
      <c r="V696" s="1"/>
    </row>
    <row r="697" spans="1:22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32"/>
      <c r="O697" s="1"/>
      <c r="P697" s="1"/>
      <c r="Q697" s="1"/>
      <c r="R697" s="1"/>
      <c r="S697" s="1"/>
      <c r="T697" s="1"/>
      <c r="U697" s="32"/>
      <c r="V697" s="1"/>
    </row>
    <row r="698" spans="1:22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32"/>
      <c r="O698" s="1"/>
      <c r="P698" s="1"/>
      <c r="Q698" s="1"/>
      <c r="R698" s="1"/>
      <c r="S698" s="1"/>
      <c r="T698" s="1"/>
      <c r="U698" s="32"/>
      <c r="V698" s="1"/>
    </row>
    <row r="699" spans="1:22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32"/>
      <c r="O699" s="1"/>
      <c r="P699" s="1"/>
      <c r="Q699" s="1"/>
      <c r="R699" s="1"/>
      <c r="S699" s="1"/>
      <c r="T699" s="1"/>
      <c r="U699" s="32"/>
      <c r="V699" s="1"/>
    </row>
    <row r="700" spans="1:22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32"/>
      <c r="O700" s="1"/>
      <c r="P700" s="1"/>
      <c r="Q700" s="1"/>
      <c r="R700" s="1"/>
      <c r="S700" s="1"/>
      <c r="T700" s="1"/>
      <c r="U700" s="32"/>
      <c r="V700" s="1"/>
    </row>
    <row r="701" spans="1:22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32"/>
      <c r="O701" s="1"/>
      <c r="P701" s="1"/>
      <c r="Q701" s="1"/>
      <c r="R701" s="1"/>
      <c r="S701" s="1"/>
      <c r="T701" s="1"/>
      <c r="U701" s="32"/>
      <c r="V701" s="1"/>
    </row>
    <row r="702" spans="1:22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32"/>
      <c r="O702" s="1"/>
      <c r="P702" s="1"/>
      <c r="Q702" s="1"/>
      <c r="R702" s="1"/>
      <c r="S702" s="1"/>
      <c r="T702" s="1"/>
      <c r="U702" s="32"/>
      <c r="V702" s="1"/>
    </row>
    <row r="703" spans="1:22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32"/>
      <c r="O703" s="1"/>
      <c r="P703" s="1"/>
      <c r="Q703" s="1"/>
      <c r="R703" s="1"/>
      <c r="S703" s="1"/>
      <c r="T703" s="1"/>
      <c r="U703" s="32"/>
      <c r="V703" s="1"/>
    </row>
    <row r="704" spans="1:22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32"/>
      <c r="O704" s="1"/>
      <c r="P704" s="1"/>
      <c r="Q704" s="1"/>
      <c r="R704" s="1"/>
      <c r="S704" s="1"/>
      <c r="T704" s="1"/>
      <c r="U704" s="32"/>
      <c r="V704" s="1"/>
    </row>
    <row r="705" spans="1:22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32"/>
      <c r="O705" s="1"/>
      <c r="P705" s="1"/>
      <c r="Q705" s="1"/>
      <c r="R705" s="1"/>
      <c r="S705" s="1"/>
      <c r="T705" s="1"/>
      <c r="U705" s="32"/>
      <c r="V705" s="1"/>
    </row>
    <row r="706" spans="1:22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32"/>
      <c r="O706" s="1"/>
      <c r="P706" s="1"/>
      <c r="Q706" s="1"/>
      <c r="R706" s="1"/>
      <c r="S706" s="1"/>
      <c r="T706" s="1"/>
      <c r="U706" s="32"/>
      <c r="V706" s="1"/>
    </row>
    <row r="707" spans="1:22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32"/>
      <c r="O707" s="1"/>
      <c r="P707" s="1"/>
      <c r="Q707" s="1"/>
      <c r="R707" s="1"/>
      <c r="S707" s="1"/>
      <c r="T707" s="1"/>
      <c r="U707" s="32"/>
      <c r="V707" s="1"/>
    </row>
    <row r="708" spans="1:22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32"/>
      <c r="O708" s="1"/>
      <c r="P708" s="1"/>
      <c r="Q708" s="1"/>
      <c r="R708" s="1"/>
      <c r="S708" s="1"/>
      <c r="T708" s="1"/>
      <c r="U708" s="32"/>
      <c r="V708" s="1"/>
    </row>
    <row r="709" spans="1:22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32"/>
      <c r="O709" s="1"/>
      <c r="P709" s="1"/>
      <c r="Q709" s="1"/>
      <c r="R709" s="1"/>
      <c r="S709" s="1"/>
      <c r="T709" s="1"/>
      <c r="U709" s="32"/>
      <c r="V709" s="1"/>
    </row>
    <row r="710" spans="1:22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32"/>
      <c r="O710" s="1"/>
      <c r="P710" s="1"/>
      <c r="Q710" s="1"/>
      <c r="R710" s="1"/>
      <c r="S710" s="1"/>
      <c r="T710" s="1"/>
      <c r="U710" s="32"/>
      <c r="V710" s="1"/>
    </row>
    <row r="711" spans="1:22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32"/>
      <c r="O711" s="1"/>
      <c r="P711" s="1"/>
      <c r="Q711" s="1"/>
      <c r="R711" s="1"/>
      <c r="S711" s="1"/>
      <c r="T711" s="1"/>
      <c r="U711" s="32"/>
      <c r="V711" s="1"/>
    </row>
    <row r="712" spans="1:22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32"/>
      <c r="O712" s="1"/>
      <c r="P712" s="1"/>
      <c r="Q712" s="1"/>
      <c r="R712" s="1"/>
      <c r="S712" s="1"/>
      <c r="T712" s="1"/>
      <c r="U712" s="32"/>
      <c r="V712" s="1"/>
    </row>
    <row r="713" spans="1:22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32"/>
      <c r="O713" s="1"/>
      <c r="P713" s="1"/>
      <c r="Q713" s="1"/>
      <c r="R713" s="1"/>
      <c r="S713" s="1"/>
      <c r="T713" s="1"/>
      <c r="U713" s="32"/>
      <c r="V713" s="1"/>
    </row>
    <row r="714" spans="1:22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32"/>
      <c r="O714" s="1"/>
      <c r="P714" s="1"/>
      <c r="Q714" s="1"/>
      <c r="R714" s="1"/>
      <c r="S714" s="1"/>
      <c r="T714" s="1"/>
      <c r="U714" s="32"/>
      <c r="V714" s="1"/>
    </row>
    <row r="715" spans="1:22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32"/>
      <c r="O715" s="1"/>
      <c r="P715" s="1"/>
      <c r="Q715" s="1"/>
      <c r="R715" s="1"/>
      <c r="S715" s="1"/>
      <c r="T715" s="1"/>
      <c r="U715" s="32"/>
      <c r="V715" s="1"/>
    </row>
    <row r="716" spans="1:22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32"/>
      <c r="O716" s="1"/>
      <c r="P716" s="1"/>
      <c r="Q716" s="1"/>
      <c r="R716" s="1"/>
      <c r="S716" s="1"/>
      <c r="T716" s="1"/>
      <c r="U716" s="32"/>
      <c r="V716" s="1"/>
    </row>
    <row r="717" spans="1:22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32"/>
      <c r="O717" s="1"/>
      <c r="P717" s="1"/>
      <c r="Q717" s="1"/>
      <c r="R717" s="1"/>
      <c r="S717" s="1"/>
      <c r="T717" s="1"/>
      <c r="U717" s="32"/>
      <c r="V717" s="1"/>
    </row>
    <row r="718" spans="1:22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32"/>
      <c r="O718" s="1"/>
      <c r="P718" s="1"/>
      <c r="Q718" s="1"/>
      <c r="R718" s="1"/>
      <c r="S718" s="1"/>
      <c r="T718" s="1"/>
      <c r="U718" s="32"/>
      <c r="V718" s="1"/>
    </row>
    <row r="719" spans="1:22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32"/>
      <c r="O719" s="1"/>
      <c r="P719" s="1"/>
      <c r="Q719" s="1"/>
      <c r="R719" s="1"/>
      <c r="S719" s="1"/>
      <c r="T719" s="1"/>
      <c r="U719" s="32"/>
      <c r="V719" s="1"/>
    </row>
    <row r="720" spans="1:22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32"/>
      <c r="O720" s="1"/>
      <c r="P720" s="1"/>
      <c r="Q720" s="1"/>
      <c r="R720" s="1"/>
      <c r="S720" s="1"/>
      <c r="T720" s="1"/>
      <c r="U720" s="32"/>
      <c r="V720" s="1"/>
    </row>
    <row r="721" spans="1:22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32"/>
      <c r="O721" s="1"/>
      <c r="P721" s="1"/>
      <c r="Q721" s="1"/>
      <c r="R721" s="1"/>
      <c r="S721" s="1"/>
      <c r="T721" s="1"/>
      <c r="U721" s="32"/>
      <c r="V721" s="1"/>
    </row>
    <row r="722" spans="1:22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32"/>
      <c r="O722" s="1"/>
      <c r="P722" s="1"/>
      <c r="Q722" s="1"/>
      <c r="R722" s="1"/>
      <c r="S722" s="1"/>
      <c r="T722" s="1"/>
      <c r="U722" s="32"/>
      <c r="V722" s="1"/>
    </row>
    <row r="723" spans="1:22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32"/>
      <c r="O723" s="1"/>
      <c r="P723" s="1"/>
      <c r="Q723" s="1"/>
      <c r="R723" s="1"/>
      <c r="S723" s="1"/>
      <c r="T723" s="1"/>
      <c r="U723" s="32"/>
      <c r="V723" s="1"/>
    </row>
    <row r="724" spans="1:22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32"/>
      <c r="O724" s="1"/>
      <c r="P724" s="1"/>
      <c r="Q724" s="1"/>
      <c r="R724" s="1"/>
      <c r="S724" s="1"/>
      <c r="T724" s="1"/>
      <c r="U724" s="32"/>
      <c r="V724" s="1"/>
    </row>
    <row r="725" spans="1:22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32"/>
      <c r="O725" s="1"/>
      <c r="P725" s="1"/>
      <c r="Q725" s="1"/>
      <c r="R725" s="1"/>
      <c r="S725" s="1"/>
      <c r="T725" s="1"/>
      <c r="U725" s="32"/>
      <c r="V725" s="1"/>
    </row>
    <row r="726" spans="1:22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32"/>
      <c r="O726" s="1"/>
      <c r="P726" s="1"/>
      <c r="Q726" s="1"/>
      <c r="R726" s="1"/>
      <c r="S726" s="1"/>
      <c r="T726" s="1"/>
      <c r="U726" s="32"/>
      <c r="V726" s="1"/>
    </row>
    <row r="727" spans="1:22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32"/>
      <c r="O727" s="1"/>
      <c r="P727" s="1"/>
      <c r="Q727" s="1"/>
      <c r="R727" s="1"/>
      <c r="S727" s="1"/>
      <c r="T727" s="1"/>
      <c r="U727" s="32"/>
      <c r="V727" s="1"/>
    </row>
    <row r="728" spans="1:22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32"/>
      <c r="O728" s="1"/>
      <c r="P728" s="1"/>
      <c r="Q728" s="1"/>
      <c r="R728" s="1"/>
      <c r="S728" s="1"/>
      <c r="T728" s="1"/>
      <c r="U728" s="32"/>
      <c r="V728" s="1"/>
    </row>
    <row r="729" spans="1:22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32"/>
      <c r="O729" s="1"/>
      <c r="P729" s="1"/>
      <c r="Q729" s="1"/>
      <c r="R729" s="1"/>
      <c r="S729" s="1"/>
      <c r="T729" s="1"/>
      <c r="U729" s="32"/>
      <c r="V729" s="1"/>
    </row>
    <row r="730" spans="1:22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32"/>
      <c r="O730" s="1"/>
      <c r="P730" s="1"/>
      <c r="Q730" s="1"/>
      <c r="R730" s="1"/>
      <c r="S730" s="1"/>
      <c r="T730" s="1"/>
      <c r="U730" s="32"/>
      <c r="V730" s="1"/>
    </row>
    <row r="731" spans="1:22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32"/>
      <c r="O731" s="1"/>
      <c r="P731" s="1"/>
      <c r="Q731" s="1"/>
      <c r="R731" s="1"/>
      <c r="S731" s="1"/>
      <c r="T731" s="1"/>
      <c r="U731" s="32"/>
      <c r="V731" s="1"/>
    </row>
    <row r="732" spans="1:22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32"/>
      <c r="O732" s="1"/>
      <c r="P732" s="1"/>
      <c r="Q732" s="1"/>
      <c r="R732" s="1"/>
      <c r="S732" s="1"/>
      <c r="T732" s="1"/>
      <c r="U732" s="32"/>
      <c r="V732" s="1"/>
    </row>
    <row r="733" spans="1:22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32"/>
      <c r="O733" s="1"/>
      <c r="P733" s="1"/>
      <c r="Q733" s="1"/>
      <c r="R733" s="1"/>
      <c r="S733" s="1"/>
      <c r="T733" s="1"/>
      <c r="U733" s="32"/>
      <c r="V733" s="1"/>
    </row>
    <row r="734" spans="1:22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32"/>
      <c r="O734" s="1"/>
      <c r="P734" s="1"/>
      <c r="Q734" s="1"/>
      <c r="R734" s="1"/>
      <c r="S734" s="1"/>
      <c r="T734" s="1"/>
      <c r="U734" s="32"/>
      <c r="V734" s="1"/>
    </row>
    <row r="735" spans="1:22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32"/>
      <c r="O735" s="1"/>
      <c r="P735" s="1"/>
      <c r="Q735" s="1"/>
      <c r="R735" s="1"/>
      <c r="S735" s="1"/>
      <c r="T735" s="1"/>
      <c r="U735" s="32"/>
      <c r="V735" s="1"/>
    </row>
    <row r="736" spans="1:22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32"/>
      <c r="O736" s="1"/>
      <c r="P736" s="1"/>
      <c r="Q736" s="1"/>
      <c r="R736" s="1"/>
      <c r="S736" s="1"/>
      <c r="T736" s="1"/>
      <c r="U736" s="32"/>
      <c r="V736" s="1"/>
    </row>
    <row r="737" spans="1:22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32"/>
      <c r="O737" s="1"/>
      <c r="P737" s="1"/>
      <c r="Q737" s="1"/>
      <c r="R737" s="1"/>
      <c r="S737" s="1"/>
      <c r="T737" s="1"/>
      <c r="U737" s="32"/>
      <c r="V737" s="1"/>
    </row>
    <row r="738" spans="1:22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32"/>
      <c r="O738" s="1"/>
      <c r="P738" s="1"/>
      <c r="Q738" s="1"/>
      <c r="R738" s="1"/>
      <c r="S738" s="1"/>
      <c r="T738" s="1"/>
      <c r="U738" s="32"/>
      <c r="V738" s="1"/>
    </row>
    <row r="739" spans="1:22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32"/>
      <c r="O739" s="1"/>
      <c r="P739" s="1"/>
      <c r="Q739" s="1"/>
      <c r="R739" s="1"/>
      <c r="S739" s="1"/>
      <c r="T739" s="1"/>
      <c r="U739" s="32"/>
      <c r="V739" s="1"/>
    </row>
    <row r="740" spans="1:22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32"/>
      <c r="O740" s="1"/>
      <c r="P740" s="1"/>
      <c r="Q740" s="1"/>
      <c r="R740" s="1"/>
      <c r="S740" s="1"/>
      <c r="T740" s="1"/>
      <c r="U740" s="32"/>
      <c r="V740" s="1"/>
    </row>
    <row r="741" spans="1:22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32"/>
      <c r="O741" s="1"/>
      <c r="P741" s="1"/>
      <c r="Q741" s="1"/>
      <c r="R741" s="1"/>
      <c r="S741" s="1"/>
      <c r="T741" s="1"/>
      <c r="U741" s="32"/>
      <c r="V741" s="1"/>
    </row>
    <row r="742" spans="1:22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32"/>
      <c r="O742" s="1"/>
      <c r="P742" s="1"/>
      <c r="Q742" s="1"/>
      <c r="R742" s="1"/>
      <c r="S742" s="1"/>
      <c r="T742" s="1"/>
      <c r="U742" s="32"/>
      <c r="V742" s="1"/>
    </row>
    <row r="743" spans="1:22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32"/>
      <c r="O743" s="1"/>
      <c r="P743" s="1"/>
      <c r="Q743" s="1"/>
      <c r="R743" s="1"/>
      <c r="S743" s="1"/>
      <c r="T743" s="1"/>
      <c r="U743" s="32"/>
      <c r="V743" s="1"/>
    </row>
    <row r="744" spans="1:22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32"/>
      <c r="O744" s="1"/>
      <c r="P744" s="1"/>
      <c r="Q744" s="1"/>
      <c r="R744" s="1"/>
      <c r="S744" s="1"/>
      <c r="T744" s="1"/>
      <c r="U744" s="32"/>
      <c r="V744" s="1"/>
    </row>
    <row r="745" spans="1:22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32"/>
      <c r="O745" s="1"/>
      <c r="P745" s="1"/>
      <c r="Q745" s="1"/>
      <c r="R745" s="1"/>
      <c r="S745" s="1"/>
      <c r="T745" s="1"/>
      <c r="U745" s="32"/>
      <c r="V745" s="1"/>
    </row>
    <row r="746" spans="1:22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32"/>
      <c r="O746" s="1"/>
      <c r="P746" s="1"/>
      <c r="Q746" s="1"/>
      <c r="R746" s="1"/>
      <c r="S746" s="1"/>
      <c r="T746" s="1"/>
      <c r="U746" s="32"/>
      <c r="V746" s="1"/>
    </row>
    <row r="747" spans="1:22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32"/>
      <c r="O747" s="1"/>
      <c r="P747" s="1"/>
      <c r="Q747" s="1"/>
      <c r="R747" s="1"/>
      <c r="S747" s="1"/>
      <c r="T747" s="1"/>
      <c r="U747" s="32"/>
      <c r="V747" s="1"/>
    </row>
    <row r="748" spans="1:22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32"/>
      <c r="O748" s="1"/>
      <c r="P748" s="1"/>
      <c r="Q748" s="1"/>
      <c r="R748" s="1"/>
      <c r="S748" s="1"/>
      <c r="T748" s="1"/>
      <c r="U748" s="32"/>
      <c r="V748" s="1"/>
    </row>
    <row r="749" spans="1:22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32"/>
      <c r="O749" s="1"/>
      <c r="P749" s="1"/>
      <c r="Q749" s="1"/>
      <c r="R749" s="1"/>
      <c r="S749" s="1"/>
      <c r="T749" s="1"/>
      <c r="U749" s="32"/>
      <c r="V749" s="1"/>
    </row>
    <row r="750" spans="1:22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32"/>
      <c r="O750" s="1"/>
      <c r="P750" s="1"/>
      <c r="Q750" s="1"/>
      <c r="R750" s="1"/>
      <c r="S750" s="1"/>
      <c r="T750" s="1"/>
      <c r="U750" s="32"/>
      <c r="V750" s="1"/>
    </row>
    <row r="751" spans="1:22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32"/>
      <c r="O751" s="1"/>
      <c r="P751" s="1"/>
      <c r="Q751" s="1"/>
      <c r="R751" s="1"/>
      <c r="S751" s="1"/>
      <c r="T751" s="1"/>
      <c r="U751" s="32"/>
      <c r="V751" s="1"/>
    </row>
    <row r="752" spans="1:22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32"/>
      <c r="O752" s="1"/>
      <c r="P752" s="1"/>
      <c r="Q752" s="1"/>
      <c r="R752" s="1"/>
      <c r="S752" s="1"/>
      <c r="T752" s="1"/>
      <c r="U752" s="32"/>
      <c r="V752" s="1"/>
    </row>
    <row r="753" spans="1:22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32"/>
      <c r="O753" s="1"/>
      <c r="P753" s="1"/>
      <c r="Q753" s="1"/>
      <c r="R753" s="1"/>
      <c r="S753" s="1"/>
      <c r="T753" s="1"/>
      <c r="U753" s="32"/>
      <c r="V753" s="1"/>
    </row>
    <row r="754" spans="1:22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32"/>
      <c r="O754" s="1"/>
      <c r="P754" s="1"/>
      <c r="Q754" s="1"/>
      <c r="R754" s="1"/>
      <c r="S754" s="1"/>
      <c r="T754" s="1"/>
      <c r="U754" s="32"/>
      <c r="V754" s="1"/>
    </row>
    <row r="755" spans="1:22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32"/>
      <c r="O755" s="1"/>
      <c r="P755" s="1"/>
      <c r="Q755" s="1"/>
      <c r="R755" s="1"/>
      <c r="S755" s="1"/>
      <c r="T755" s="1"/>
      <c r="U755" s="32"/>
      <c r="V755" s="1"/>
    </row>
    <row r="756" spans="1:22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32"/>
      <c r="O756" s="1"/>
      <c r="P756" s="1"/>
      <c r="Q756" s="1"/>
      <c r="R756" s="1"/>
      <c r="S756" s="1"/>
      <c r="T756" s="1"/>
      <c r="U756" s="32"/>
      <c r="V756" s="1"/>
    </row>
    <row r="757" spans="1:22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32"/>
      <c r="O757" s="1"/>
      <c r="P757" s="1"/>
      <c r="Q757" s="1"/>
      <c r="R757" s="1"/>
      <c r="S757" s="1"/>
      <c r="T757" s="1"/>
      <c r="U757" s="32"/>
      <c r="V757" s="1"/>
    </row>
    <row r="758" spans="1:22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32"/>
      <c r="O758" s="1"/>
      <c r="P758" s="1"/>
      <c r="Q758" s="1"/>
      <c r="R758" s="1"/>
      <c r="S758" s="1"/>
      <c r="T758" s="1"/>
      <c r="U758" s="32"/>
      <c r="V758" s="1"/>
    </row>
    <row r="759" spans="1:22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32"/>
      <c r="O759" s="1"/>
      <c r="P759" s="1"/>
      <c r="Q759" s="1"/>
      <c r="R759" s="1"/>
      <c r="S759" s="1"/>
      <c r="T759" s="1"/>
      <c r="U759" s="32"/>
      <c r="V759" s="1"/>
    </row>
    <row r="760" spans="1:22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32"/>
      <c r="O760" s="1"/>
      <c r="P760" s="1"/>
      <c r="Q760" s="1"/>
      <c r="R760" s="1"/>
      <c r="S760" s="1"/>
      <c r="T760" s="1"/>
      <c r="U760" s="32"/>
      <c r="V760" s="1"/>
    </row>
    <row r="761" spans="1:22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32"/>
      <c r="O761" s="1"/>
      <c r="P761" s="1"/>
      <c r="Q761" s="1"/>
      <c r="R761" s="1"/>
      <c r="S761" s="1"/>
      <c r="T761" s="1"/>
      <c r="U761" s="32"/>
      <c r="V761" s="1"/>
    </row>
    <row r="762" spans="1:22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32"/>
      <c r="O762" s="1"/>
      <c r="P762" s="1"/>
      <c r="Q762" s="1"/>
      <c r="R762" s="1"/>
      <c r="S762" s="1"/>
      <c r="T762" s="1"/>
      <c r="U762" s="32"/>
      <c r="V762" s="1"/>
    </row>
    <row r="763" spans="1:22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32"/>
      <c r="O763" s="1"/>
      <c r="P763" s="1"/>
      <c r="Q763" s="1"/>
      <c r="R763" s="1"/>
      <c r="S763" s="1"/>
      <c r="T763" s="1"/>
      <c r="U763" s="32"/>
      <c r="V763" s="1"/>
    </row>
    <row r="764" spans="1:22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32"/>
      <c r="O764" s="1"/>
      <c r="P764" s="1"/>
      <c r="Q764" s="1"/>
      <c r="R764" s="1"/>
      <c r="S764" s="1"/>
      <c r="T764" s="1"/>
      <c r="U764" s="32"/>
      <c r="V764" s="1"/>
    </row>
    <row r="765" spans="1:22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32"/>
      <c r="O765" s="1"/>
      <c r="P765" s="1"/>
      <c r="Q765" s="1"/>
      <c r="R765" s="1"/>
      <c r="S765" s="1"/>
      <c r="T765" s="1"/>
      <c r="U765" s="32"/>
      <c r="V765" s="1"/>
    </row>
    <row r="766" spans="1:22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32"/>
      <c r="O766" s="1"/>
      <c r="P766" s="1"/>
      <c r="Q766" s="1"/>
      <c r="R766" s="1"/>
      <c r="S766" s="1"/>
      <c r="T766" s="1"/>
      <c r="U766" s="32"/>
      <c r="V766" s="1"/>
    </row>
    <row r="767" spans="1:22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32"/>
      <c r="O767" s="1"/>
      <c r="P767" s="1"/>
      <c r="Q767" s="1"/>
      <c r="R767" s="1"/>
      <c r="S767" s="1"/>
      <c r="T767" s="1"/>
      <c r="U767" s="32"/>
      <c r="V767" s="1"/>
    </row>
    <row r="768" spans="1:22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32"/>
      <c r="O768" s="1"/>
      <c r="P768" s="1"/>
      <c r="Q768" s="1"/>
      <c r="R768" s="1"/>
      <c r="S768" s="1"/>
      <c r="T768" s="1"/>
      <c r="U768" s="32"/>
      <c r="V768" s="1"/>
    </row>
    <row r="769" spans="1:22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32"/>
      <c r="O769" s="1"/>
      <c r="P769" s="1"/>
      <c r="Q769" s="1"/>
      <c r="R769" s="1"/>
      <c r="S769" s="1"/>
      <c r="T769" s="1"/>
      <c r="U769" s="32"/>
      <c r="V769" s="1"/>
    </row>
    <row r="770" spans="1:22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32"/>
      <c r="O770" s="1"/>
      <c r="P770" s="1"/>
      <c r="Q770" s="1"/>
      <c r="R770" s="1"/>
      <c r="S770" s="1"/>
      <c r="T770" s="1"/>
      <c r="U770" s="32"/>
      <c r="V770" s="1"/>
    </row>
    <row r="771" spans="1:22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32"/>
      <c r="O771" s="1"/>
      <c r="P771" s="1"/>
      <c r="Q771" s="1"/>
      <c r="R771" s="1"/>
      <c r="S771" s="1"/>
      <c r="T771" s="1"/>
      <c r="U771" s="32"/>
      <c r="V771" s="1"/>
    </row>
    <row r="772" spans="1:22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32"/>
      <c r="O772" s="1"/>
      <c r="P772" s="1"/>
      <c r="Q772" s="1"/>
      <c r="R772" s="1"/>
      <c r="S772" s="1"/>
      <c r="T772" s="1"/>
      <c r="U772" s="32"/>
      <c r="V772" s="1"/>
    </row>
    <row r="773" spans="1:22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32"/>
      <c r="O773" s="1"/>
      <c r="P773" s="1"/>
      <c r="Q773" s="1"/>
      <c r="R773" s="1"/>
      <c r="S773" s="1"/>
      <c r="T773" s="1"/>
      <c r="U773" s="32"/>
      <c r="V773" s="1"/>
    </row>
    <row r="774" spans="1:22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32"/>
      <c r="O774" s="1"/>
      <c r="P774" s="1"/>
      <c r="Q774" s="1"/>
      <c r="R774" s="1"/>
      <c r="S774" s="1"/>
      <c r="T774" s="1"/>
      <c r="U774" s="32"/>
      <c r="V774" s="1"/>
    </row>
    <row r="775" spans="1:22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32"/>
      <c r="O775" s="1"/>
      <c r="P775" s="1"/>
      <c r="Q775" s="1"/>
      <c r="R775" s="1"/>
      <c r="S775" s="1"/>
      <c r="T775" s="1"/>
      <c r="U775" s="32"/>
      <c r="V775" s="1"/>
    </row>
    <row r="776" spans="1:22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32"/>
      <c r="O776" s="1"/>
      <c r="P776" s="1"/>
      <c r="Q776" s="1"/>
      <c r="R776" s="1"/>
      <c r="S776" s="1"/>
      <c r="T776" s="1"/>
      <c r="U776" s="32"/>
      <c r="V776" s="1"/>
    </row>
    <row r="777" spans="1:22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32"/>
      <c r="O777" s="1"/>
      <c r="P777" s="1"/>
      <c r="Q777" s="1"/>
      <c r="R777" s="1"/>
      <c r="S777" s="1"/>
      <c r="T777" s="1"/>
      <c r="U777" s="32"/>
      <c r="V777" s="1"/>
    </row>
    <row r="778" spans="1:22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32"/>
      <c r="O778" s="1"/>
      <c r="P778" s="1"/>
      <c r="Q778" s="1"/>
      <c r="R778" s="1"/>
      <c r="S778" s="1"/>
      <c r="T778" s="1"/>
      <c r="U778" s="32"/>
      <c r="V778" s="1"/>
    </row>
    <row r="779" spans="1:22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32"/>
      <c r="O779" s="1"/>
      <c r="P779" s="1"/>
      <c r="Q779" s="1"/>
      <c r="R779" s="1"/>
      <c r="S779" s="1"/>
      <c r="T779" s="1"/>
      <c r="U779" s="32"/>
      <c r="V779" s="1"/>
    </row>
    <row r="780" spans="1:22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32"/>
      <c r="O780" s="1"/>
      <c r="P780" s="1"/>
      <c r="Q780" s="1"/>
      <c r="R780" s="1"/>
      <c r="S780" s="1"/>
      <c r="T780" s="1"/>
      <c r="U780" s="32"/>
      <c r="V780" s="1"/>
    </row>
    <row r="781" spans="1:22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32"/>
      <c r="O781" s="1"/>
      <c r="P781" s="1"/>
      <c r="Q781" s="1"/>
      <c r="R781" s="1"/>
      <c r="S781" s="1"/>
      <c r="T781" s="1"/>
      <c r="U781" s="32"/>
      <c r="V781" s="1"/>
    </row>
    <row r="782" spans="1:22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32"/>
      <c r="O782" s="1"/>
      <c r="P782" s="1"/>
      <c r="Q782" s="1"/>
      <c r="R782" s="1"/>
      <c r="S782" s="1"/>
      <c r="T782" s="1"/>
      <c r="U782" s="32"/>
      <c r="V782" s="1"/>
    </row>
    <row r="783" spans="1:22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32"/>
      <c r="O783" s="1"/>
      <c r="P783" s="1"/>
      <c r="Q783" s="1"/>
      <c r="R783" s="1"/>
      <c r="S783" s="1"/>
      <c r="T783" s="1"/>
      <c r="U783" s="32"/>
      <c r="V783" s="1"/>
    </row>
    <row r="784" spans="1:22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32"/>
      <c r="O784" s="1"/>
      <c r="P784" s="1"/>
      <c r="Q784" s="1"/>
      <c r="R784" s="1"/>
      <c r="S784" s="1"/>
      <c r="T784" s="1"/>
      <c r="U784" s="32"/>
      <c r="V784" s="1"/>
    </row>
    <row r="785" spans="1:22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32"/>
      <c r="O785" s="1"/>
      <c r="P785" s="1"/>
      <c r="Q785" s="1"/>
      <c r="R785" s="1"/>
      <c r="S785" s="1"/>
      <c r="T785" s="1"/>
      <c r="U785" s="32"/>
      <c r="V785" s="1"/>
    </row>
    <row r="786" spans="1:22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32"/>
      <c r="O786" s="1"/>
      <c r="P786" s="1"/>
      <c r="Q786" s="1"/>
      <c r="R786" s="1"/>
      <c r="S786" s="1"/>
      <c r="T786" s="1"/>
      <c r="U786" s="32"/>
      <c r="V786" s="1"/>
    </row>
    <row r="787" spans="1:22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32"/>
      <c r="O787" s="1"/>
      <c r="P787" s="1"/>
      <c r="Q787" s="1"/>
      <c r="R787" s="1"/>
      <c r="S787" s="1"/>
      <c r="T787" s="1"/>
      <c r="U787" s="32"/>
      <c r="V787" s="1"/>
    </row>
    <row r="788" spans="1:22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32"/>
      <c r="O788" s="1"/>
      <c r="P788" s="1"/>
      <c r="Q788" s="1"/>
      <c r="R788" s="1"/>
      <c r="S788" s="1"/>
      <c r="T788" s="1"/>
      <c r="U788" s="32"/>
      <c r="V788" s="1"/>
    </row>
    <row r="789" spans="1:22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32"/>
      <c r="O789" s="1"/>
      <c r="P789" s="1"/>
      <c r="Q789" s="1"/>
      <c r="R789" s="1"/>
      <c r="S789" s="1"/>
      <c r="T789" s="1"/>
      <c r="U789" s="32"/>
      <c r="V789" s="1"/>
    </row>
    <row r="790" spans="1:22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32"/>
      <c r="O790" s="1"/>
      <c r="P790" s="1"/>
      <c r="Q790" s="1"/>
      <c r="R790" s="1"/>
      <c r="S790" s="1"/>
      <c r="T790" s="1"/>
      <c r="U790" s="32"/>
      <c r="V790" s="1"/>
    </row>
    <row r="791" spans="1:22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32"/>
      <c r="O791" s="1"/>
      <c r="P791" s="1"/>
      <c r="Q791" s="1"/>
      <c r="R791" s="1"/>
      <c r="S791" s="1"/>
      <c r="T791" s="1"/>
      <c r="U791" s="32"/>
      <c r="V791" s="1"/>
    </row>
    <row r="792" spans="1:22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32"/>
      <c r="O792" s="1"/>
      <c r="P792" s="1"/>
      <c r="Q792" s="1"/>
      <c r="R792" s="1"/>
      <c r="S792" s="1"/>
      <c r="T792" s="1"/>
      <c r="U792" s="32"/>
      <c r="V792" s="1"/>
    </row>
    <row r="793" spans="1:22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32"/>
      <c r="O793" s="1"/>
      <c r="P793" s="1"/>
      <c r="Q793" s="1"/>
      <c r="R793" s="1"/>
      <c r="S793" s="1"/>
      <c r="T793" s="1"/>
      <c r="U793" s="32"/>
      <c r="V793" s="1"/>
    </row>
    <row r="794" spans="1:22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32"/>
      <c r="O794" s="1"/>
      <c r="P794" s="1"/>
      <c r="Q794" s="1"/>
      <c r="R794" s="1"/>
      <c r="S794" s="1"/>
      <c r="T794" s="1"/>
      <c r="U794" s="32"/>
      <c r="V794" s="1"/>
    </row>
    <row r="795" spans="1:22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32"/>
      <c r="O795" s="1"/>
      <c r="P795" s="1"/>
      <c r="Q795" s="1"/>
      <c r="R795" s="1"/>
      <c r="S795" s="1"/>
      <c r="T795" s="1"/>
      <c r="U795" s="32"/>
      <c r="V795" s="1"/>
    </row>
    <row r="796" spans="1:22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32"/>
      <c r="O796" s="1"/>
      <c r="P796" s="1"/>
      <c r="Q796" s="1"/>
      <c r="R796" s="1"/>
      <c r="S796" s="1"/>
      <c r="T796" s="1"/>
      <c r="U796" s="32"/>
      <c r="V796" s="1"/>
    </row>
    <row r="797" spans="1:22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32"/>
      <c r="O797" s="1"/>
      <c r="P797" s="1"/>
      <c r="Q797" s="1"/>
      <c r="R797" s="1"/>
      <c r="S797" s="1"/>
      <c r="T797" s="1"/>
      <c r="U797" s="32"/>
      <c r="V797" s="1"/>
    </row>
    <row r="798" spans="1:22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32"/>
      <c r="O798" s="1"/>
      <c r="P798" s="1"/>
      <c r="Q798" s="1"/>
      <c r="R798" s="1"/>
      <c r="S798" s="1"/>
      <c r="T798" s="1"/>
      <c r="U798" s="32"/>
      <c r="V798" s="1"/>
    </row>
    <row r="799" spans="1:22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32"/>
      <c r="O799" s="1"/>
      <c r="P799" s="1"/>
      <c r="Q799" s="1"/>
      <c r="R799" s="1"/>
      <c r="S799" s="1"/>
      <c r="T799" s="1"/>
      <c r="U799" s="32"/>
      <c r="V799" s="1"/>
    </row>
    <row r="800" spans="1:22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32"/>
      <c r="O800" s="1"/>
      <c r="P800" s="1"/>
      <c r="Q800" s="1"/>
      <c r="R800" s="1"/>
      <c r="S800" s="1"/>
      <c r="T800" s="1"/>
      <c r="U800" s="32"/>
      <c r="V800" s="1"/>
    </row>
    <row r="801" spans="1:22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32"/>
      <c r="O801" s="1"/>
      <c r="P801" s="1"/>
      <c r="Q801" s="1"/>
      <c r="R801" s="1"/>
      <c r="S801" s="1"/>
      <c r="T801" s="1"/>
      <c r="U801" s="32"/>
      <c r="V801" s="1"/>
    </row>
    <row r="802" spans="1:22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32"/>
      <c r="O802" s="1"/>
      <c r="P802" s="1"/>
      <c r="Q802" s="1"/>
      <c r="R802" s="1"/>
      <c r="S802" s="1"/>
      <c r="T802" s="1"/>
      <c r="U802" s="32"/>
      <c r="V802" s="1"/>
    </row>
    <row r="803" spans="1:22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32"/>
      <c r="O803" s="1"/>
      <c r="P803" s="1"/>
      <c r="Q803" s="1"/>
      <c r="R803" s="1"/>
      <c r="S803" s="1"/>
      <c r="T803" s="1"/>
      <c r="U803" s="32"/>
      <c r="V803" s="1"/>
    </row>
    <row r="804" spans="1:22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32"/>
      <c r="O804" s="1"/>
      <c r="P804" s="1"/>
      <c r="Q804" s="1"/>
      <c r="R804" s="1"/>
      <c r="S804" s="1"/>
      <c r="T804" s="1"/>
      <c r="U804" s="32"/>
      <c r="V804" s="1"/>
    </row>
    <row r="805" spans="1:22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32"/>
      <c r="O805" s="1"/>
      <c r="P805" s="1"/>
      <c r="Q805" s="1"/>
      <c r="R805" s="1"/>
      <c r="S805" s="1"/>
      <c r="T805" s="1"/>
      <c r="U805" s="32"/>
      <c r="V805" s="1"/>
    </row>
    <row r="806" spans="1:22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32"/>
      <c r="O806" s="1"/>
      <c r="P806" s="1"/>
      <c r="Q806" s="1"/>
      <c r="R806" s="1"/>
      <c r="S806" s="1"/>
      <c r="T806" s="1"/>
      <c r="U806" s="32"/>
      <c r="V806" s="1"/>
    </row>
    <row r="807" spans="1:22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32"/>
      <c r="O807" s="1"/>
      <c r="P807" s="1"/>
      <c r="Q807" s="1"/>
      <c r="R807" s="1"/>
      <c r="S807" s="1"/>
      <c r="T807" s="1"/>
      <c r="U807" s="32"/>
      <c r="V807" s="1"/>
    </row>
    <row r="808" spans="1:22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32"/>
      <c r="O808" s="1"/>
      <c r="P808" s="1"/>
      <c r="Q808" s="1"/>
      <c r="R808" s="1"/>
      <c r="S808" s="1"/>
      <c r="T808" s="1"/>
      <c r="U808" s="32"/>
      <c r="V808" s="1"/>
    </row>
    <row r="809" spans="1:22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32"/>
      <c r="O809" s="1"/>
      <c r="P809" s="1"/>
      <c r="Q809" s="1"/>
      <c r="R809" s="1"/>
      <c r="S809" s="1"/>
      <c r="T809" s="1"/>
      <c r="U809" s="32"/>
      <c r="V809" s="1"/>
    </row>
    <row r="810" spans="1:22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32"/>
      <c r="O810" s="1"/>
      <c r="P810" s="1"/>
      <c r="Q810" s="1"/>
      <c r="R810" s="1"/>
      <c r="S810" s="1"/>
      <c r="T810" s="1"/>
      <c r="U810" s="32"/>
      <c r="V810" s="1"/>
    </row>
    <row r="811" spans="1:22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32"/>
      <c r="O811" s="1"/>
      <c r="P811" s="1"/>
      <c r="Q811" s="1"/>
      <c r="R811" s="1"/>
      <c r="S811" s="1"/>
      <c r="T811" s="1"/>
      <c r="U811" s="32"/>
      <c r="V811" s="1"/>
    </row>
    <row r="812" spans="1:22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32"/>
      <c r="O812" s="1"/>
      <c r="P812" s="1"/>
      <c r="Q812" s="1"/>
      <c r="R812" s="1"/>
      <c r="S812" s="1"/>
      <c r="T812" s="1"/>
      <c r="U812" s="32"/>
      <c r="V812" s="1"/>
    </row>
    <row r="813" spans="1:22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32"/>
      <c r="O813" s="1"/>
      <c r="P813" s="1"/>
      <c r="Q813" s="1"/>
      <c r="R813" s="1"/>
      <c r="S813" s="1"/>
      <c r="T813" s="1"/>
      <c r="U813" s="32"/>
      <c r="V813" s="1"/>
    </row>
    <row r="814" spans="1:22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32"/>
      <c r="O814" s="1"/>
      <c r="P814" s="1"/>
      <c r="Q814" s="1"/>
      <c r="R814" s="1"/>
      <c r="S814" s="1"/>
      <c r="T814" s="1"/>
      <c r="U814" s="32"/>
      <c r="V814" s="1"/>
    </row>
    <row r="815" spans="1:22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32"/>
      <c r="O815" s="1"/>
      <c r="P815" s="1"/>
      <c r="Q815" s="1"/>
      <c r="R815" s="1"/>
      <c r="S815" s="1"/>
      <c r="T815" s="1"/>
      <c r="U815" s="32"/>
      <c r="V815" s="1"/>
    </row>
    <row r="816" spans="1:22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32"/>
      <c r="O816" s="1"/>
      <c r="P816" s="1"/>
      <c r="Q816" s="1"/>
      <c r="R816" s="1"/>
      <c r="S816" s="1"/>
      <c r="T816" s="1"/>
      <c r="U816" s="32"/>
      <c r="V816" s="1"/>
    </row>
    <row r="817" spans="1:22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32"/>
      <c r="O817" s="1"/>
      <c r="P817" s="1"/>
      <c r="Q817" s="1"/>
      <c r="R817" s="1"/>
      <c r="S817" s="1"/>
      <c r="T817" s="1"/>
      <c r="U817" s="32"/>
      <c r="V817" s="1"/>
    </row>
    <row r="818" spans="1:22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32"/>
      <c r="O818" s="1"/>
      <c r="P818" s="1"/>
      <c r="Q818" s="1"/>
      <c r="R818" s="1"/>
      <c r="S818" s="1"/>
      <c r="T818" s="1"/>
      <c r="U818" s="32"/>
      <c r="V818" s="1"/>
    </row>
    <row r="819" spans="1:22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32"/>
      <c r="O819" s="1"/>
      <c r="P819" s="1"/>
      <c r="Q819" s="1"/>
      <c r="R819" s="1"/>
      <c r="S819" s="1"/>
      <c r="T819" s="1"/>
      <c r="U819" s="32"/>
      <c r="V819" s="1"/>
    </row>
    <row r="820" spans="1:22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32"/>
      <c r="O820" s="1"/>
      <c r="P820" s="1"/>
      <c r="Q820" s="1"/>
      <c r="R820" s="1"/>
      <c r="S820" s="1"/>
      <c r="T820" s="1"/>
      <c r="U820" s="32"/>
      <c r="V820" s="1"/>
    </row>
    <row r="821" spans="1:22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32"/>
      <c r="O821" s="1"/>
      <c r="P821" s="1"/>
      <c r="Q821" s="1"/>
      <c r="R821" s="1"/>
      <c r="S821" s="1"/>
      <c r="T821" s="1"/>
      <c r="U821" s="32"/>
      <c r="V821" s="1"/>
    </row>
    <row r="822" spans="1:22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32"/>
      <c r="O822" s="1"/>
      <c r="P822" s="1"/>
      <c r="Q822" s="1"/>
      <c r="R822" s="1"/>
      <c r="S822" s="1"/>
      <c r="T822" s="1"/>
      <c r="U822" s="32"/>
      <c r="V822" s="1"/>
    </row>
    <row r="823" spans="1:22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32"/>
      <c r="O823" s="1"/>
      <c r="P823" s="1"/>
      <c r="Q823" s="1"/>
      <c r="R823" s="1"/>
      <c r="S823" s="1"/>
      <c r="T823" s="1"/>
      <c r="U823" s="32"/>
      <c r="V823" s="1"/>
    </row>
    <row r="824" spans="1:22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32"/>
      <c r="O824" s="1"/>
      <c r="P824" s="1"/>
      <c r="Q824" s="1"/>
      <c r="R824" s="1"/>
      <c r="S824" s="1"/>
      <c r="T824" s="1"/>
      <c r="U824" s="32"/>
      <c r="V824" s="1"/>
    </row>
    <row r="825" spans="1:22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32"/>
      <c r="O825" s="1"/>
      <c r="P825" s="1"/>
      <c r="Q825" s="1"/>
      <c r="R825" s="1"/>
      <c r="S825" s="1"/>
      <c r="T825" s="1"/>
      <c r="U825" s="32"/>
      <c r="V825" s="1"/>
    </row>
    <row r="826" spans="1:22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32"/>
      <c r="O826" s="1"/>
      <c r="P826" s="1"/>
      <c r="Q826" s="1"/>
      <c r="R826" s="1"/>
      <c r="S826" s="1"/>
      <c r="T826" s="1"/>
      <c r="U826" s="32"/>
      <c r="V826" s="1"/>
    </row>
    <row r="827" spans="1:22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32"/>
      <c r="O827" s="1"/>
      <c r="P827" s="1"/>
      <c r="Q827" s="1"/>
      <c r="R827" s="1"/>
      <c r="S827" s="1"/>
      <c r="T827" s="1"/>
      <c r="U827" s="32"/>
      <c r="V827" s="1"/>
    </row>
    <row r="828" spans="1:22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32"/>
      <c r="O828" s="1"/>
      <c r="P828" s="1"/>
      <c r="Q828" s="1"/>
      <c r="R828" s="1"/>
      <c r="S828" s="1"/>
      <c r="T828" s="1"/>
      <c r="U828" s="32"/>
      <c r="V828" s="1"/>
    </row>
    <row r="829" spans="1:22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32"/>
      <c r="O829" s="1"/>
      <c r="P829" s="1"/>
      <c r="Q829" s="1"/>
      <c r="R829" s="1"/>
      <c r="S829" s="1"/>
      <c r="T829" s="1"/>
      <c r="U829" s="32"/>
      <c r="V829" s="1"/>
    </row>
    <row r="830" spans="1:22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32"/>
      <c r="O830" s="1"/>
      <c r="P830" s="1"/>
      <c r="Q830" s="1"/>
      <c r="R830" s="1"/>
      <c r="S830" s="1"/>
      <c r="T830" s="1"/>
      <c r="U830" s="32"/>
      <c r="V830" s="1"/>
    </row>
    <row r="831" spans="1:22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32"/>
      <c r="O831" s="1"/>
      <c r="P831" s="1"/>
      <c r="Q831" s="1"/>
      <c r="R831" s="1"/>
      <c r="S831" s="1"/>
      <c r="T831" s="1"/>
      <c r="U831" s="32"/>
      <c r="V831" s="1"/>
    </row>
    <row r="832" spans="1:22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32"/>
      <c r="O832" s="1"/>
      <c r="P832" s="1"/>
      <c r="Q832" s="1"/>
      <c r="R832" s="1"/>
      <c r="S832" s="1"/>
      <c r="T832" s="1"/>
      <c r="U832" s="32"/>
      <c r="V832" s="1"/>
    </row>
    <row r="833" spans="1:22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32"/>
      <c r="O833" s="1"/>
      <c r="P833" s="1"/>
      <c r="Q833" s="1"/>
      <c r="R833" s="1"/>
      <c r="S833" s="1"/>
      <c r="T833" s="1"/>
      <c r="U833" s="32"/>
      <c r="V833" s="1"/>
    </row>
    <row r="834" spans="1:22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32"/>
      <c r="O834" s="1"/>
      <c r="P834" s="1"/>
      <c r="Q834" s="1"/>
      <c r="R834" s="1"/>
      <c r="S834" s="1"/>
      <c r="T834" s="1"/>
      <c r="U834" s="32"/>
      <c r="V834" s="1"/>
    </row>
    <row r="835" spans="1:22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32"/>
      <c r="O835" s="1"/>
      <c r="P835" s="1"/>
      <c r="Q835" s="1"/>
      <c r="R835" s="1"/>
      <c r="S835" s="1"/>
      <c r="T835" s="1"/>
      <c r="U835" s="32"/>
      <c r="V835" s="1"/>
    </row>
    <row r="836" spans="1:22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32"/>
      <c r="O836" s="1"/>
      <c r="P836" s="1"/>
      <c r="Q836" s="1"/>
      <c r="R836" s="1"/>
      <c r="S836" s="1"/>
      <c r="T836" s="1"/>
      <c r="U836" s="32"/>
      <c r="V836" s="1"/>
    </row>
    <row r="837" spans="1:22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32"/>
      <c r="O837" s="1"/>
      <c r="P837" s="1"/>
      <c r="Q837" s="1"/>
      <c r="R837" s="1"/>
      <c r="S837" s="1"/>
      <c r="T837" s="1"/>
      <c r="U837" s="32"/>
      <c r="V837" s="1"/>
    </row>
    <row r="838" spans="1:22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32"/>
      <c r="O838" s="1"/>
      <c r="P838" s="1"/>
      <c r="Q838" s="1"/>
      <c r="R838" s="1"/>
      <c r="S838" s="1"/>
      <c r="T838" s="1"/>
      <c r="U838" s="32"/>
      <c r="V838" s="1"/>
    </row>
    <row r="839" spans="1:22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32"/>
      <c r="O839" s="1"/>
      <c r="P839" s="1"/>
      <c r="Q839" s="1"/>
      <c r="R839" s="1"/>
      <c r="S839" s="1"/>
      <c r="T839" s="1"/>
      <c r="U839" s="32"/>
      <c r="V839" s="1"/>
    </row>
    <row r="840" spans="1:22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32"/>
      <c r="O840" s="1"/>
      <c r="P840" s="1"/>
      <c r="Q840" s="1"/>
      <c r="R840" s="1"/>
      <c r="S840" s="1"/>
      <c r="T840" s="1"/>
      <c r="U840" s="32"/>
      <c r="V840" s="1"/>
    </row>
    <row r="841" spans="1:22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32"/>
      <c r="O841" s="1"/>
      <c r="P841" s="1"/>
      <c r="Q841" s="1"/>
      <c r="R841" s="1"/>
      <c r="S841" s="1"/>
      <c r="T841" s="1"/>
      <c r="U841" s="32"/>
      <c r="V841" s="1"/>
    </row>
    <row r="842" spans="1:22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32"/>
      <c r="O842" s="1"/>
      <c r="P842" s="1"/>
      <c r="Q842" s="1"/>
      <c r="R842" s="1"/>
      <c r="S842" s="1"/>
      <c r="T842" s="1"/>
      <c r="U842" s="32"/>
      <c r="V842" s="1"/>
    </row>
    <row r="843" spans="1:22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32"/>
      <c r="O843" s="1"/>
      <c r="P843" s="1"/>
      <c r="Q843" s="1"/>
      <c r="R843" s="1"/>
      <c r="S843" s="1"/>
      <c r="T843" s="1"/>
      <c r="U843" s="32"/>
      <c r="V843" s="1"/>
    </row>
    <row r="844" spans="1:22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32"/>
      <c r="O844" s="1"/>
      <c r="P844" s="1"/>
      <c r="Q844" s="1"/>
      <c r="R844" s="1"/>
      <c r="S844" s="1"/>
      <c r="T844" s="1"/>
      <c r="U844" s="32"/>
      <c r="V844" s="1"/>
    </row>
    <row r="845" spans="1:22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32"/>
      <c r="O845" s="1"/>
      <c r="P845" s="1"/>
      <c r="Q845" s="1"/>
      <c r="R845" s="1"/>
      <c r="S845" s="1"/>
      <c r="T845" s="1"/>
      <c r="U845" s="32"/>
      <c r="V845" s="1"/>
    </row>
    <row r="846" spans="1:22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32"/>
      <c r="O846" s="1"/>
      <c r="P846" s="1"/>
      <c r="Q846" s="1"/>
      <c r="R846" s="1"/>
      <c r="S846" s="1"/>
      <c r="T846" s="1"/>
      <c r="U846" s="32"/>
      <c r="V846" s="1"/>
    </row>
    <row r="847" spans="1:22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32"/>
      <c r="O847" s="1"/>
      <c r="P847" s="1"/>
      <c r="Q847" s="1"/>
      <c r="R847" s="1"/>
      <c r="S847" s="1"/>
      <c r="T847" s="1"/>
      <c r="U847" s="32"/>
      <c r="V847" s="1"/>
    </row>
    <row r="848" spans="1:22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32"/>
      <c r="O848" s="1"/>
      <c r="P848" s="1"/>
      <c r="Q848" s="1"/>
      <c r="R848" s="1"/>
      <c r="S848" s="1"/>
      <c r="T848" s="1"/>
      <c r="U848" s="32"/>
      <c r="V848" s="1"/>
    </row>
    <row r="849" spans="1:22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32"/>
      <c r="O849" s="1"/>
      <c r="P849" s="1"/>
      <c r="Q849" s="1"/>
      <c r="R849" s="1"/>
      <c r="S849" s="1"/>
      <c r="T849" s="1"/>
      <c r="U849" s="32"/>
      <c r="V849" s="1"/>
    </row>
    <row r="850" spans="1:22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32"/>
      <c r="O850" s="1"/>
      <c r="P850" s="1"/>
      <c r="Q850" s="1"/>
      <c r="R850" s="1"/>
      <c r="S850" s="1"/>
      <c r="T850" s="1"/>
      <c r="U850" s="32"/>
      <c r="V850" s="1"/>
    </row>
    <row r="851" spans="1:22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32"/>
      <c r="O851" s="1"/>
      <c r="P851" s="1"/>
      <c r="Q851" s="1"/>
      <c r="R851" s="1"/>
      <c r="S851" s="1"/>
      <c r="T851" s="1"/>
      <c r="U851" s="32"/>
      <c r="V851" s="1"/>
    </row>
    <row r="852" spans="1:22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32"/>
      <c r="O852" s="1"/>
      <c r="P852" s="1"/>
      <c r="Q852" s="1"/>
      <c r="R852" s="1"/>
      <c r="S852" s="1"/>
      <c r="T852" s="1"/>
      <c r="U852" s="32"/>
      <c r="V852" s="1"/>
    </row>
    <row r="853" spans="1:22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32"/>
      <c r="O853" s="1"/>
      <c r="P853" s="1"/>
      <c r="Q853" s="1"/>
      <c r="R853" s="1"/>
      <c r="S853" s="1"/>
      <c r="T853" s="1"/>
      <c r="U853" s="32"/>
      <c r="V853" s="1"/>
    </row>
    <row r="854" spans="1:22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32"/>
      <c r="O854" s="1"/>
      <c r="P854" s="1"/>
      <c r="Q854" s="1"/>
      <c r="R854" s="1"/>
      <c r="S854" s="1"/>
      <c r="T854" s="1"/>
      <c r="U854" s="32"/>
      <c r="V854" s="1"/>
    </row>
    <row r="855" spans="1:22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32"/>
      <c r="O855" s="1"/>
      <c r="P855" s="1"/>
      <c r="Q855" s="1"/>
      <c r="R855" s="1"/>
      <c r="S855" s="1"/>
      <c r="T855" s="1"/>
      <c r="U855" s="32"/>
      <c r="V855" s="1"/>
    </row>
    <row r="856" spans="1:22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32"/>
      <c r="O856" s="1"/>
      <c r="P856" s="1"/>
      <c r="Q856" s="1"/>
      <c r="R856" s="1"/>
      <c r="S856" s="1"/>
      <c r="T856" s="1"/>
      <c r="U856" s="32"/>
      <c r="V856" s="1"/>
    </row>
    <row r="857" spans="1:22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32"/>
      <c r="O857" s="1"/>
      <c r="P857" s="1"/>
      <c r="Q857" s="1"/>
      <c r="R857" s="1"/>
      <c r="S857" s="1"/>
      <c r="T857" s="1"/>
      <c r="U857" s="32"/>
      <c r="V857" s="1"/>
    </row>
    <row r="858" spans="1:22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32"/>
      <c r="O858" s="1"/>
      <c r="P858" s="1"/>
      <c r="Q858" s="1"/>
      <c r="R858" s="1"/>
      <c r="S858" s="1"/>
      <c r="T858" s="1"/>
      <c r="U858" s="32"/>
      <c r="V858" s="1"/>
    </row>
    <row r="859" spans="1:22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32"/>
      <c r="O859" s="1"/>
      <c r="P859" s="1"/>
      <c r="Q859" s="1"/>
      <c r="R859" s="1"/>
      <c r="S859" s="1"/>
      <c r="T859" s="1"/>
      <c r="U859" s="32"/>
      <c r="V859" s="1"/>
    </row>
    <row r="860" spans="1:22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32"/>
      <c r="O860" s="1"/>
      <c r="P860" s="1"/>
      <c r="Q860" s="1"/>
      <c r="R860" s="1"/>
      <c r="S860" s="1"/>
      <c r="T860" s="1"/>
      <c r="U860" s="32"/>
      <c r="V860" s="1"/>
    </row>
    <row r="861" spans="1:22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32"/>
      <c r="O861" s="1"/>
      <c r="P861" s="1"/>
      <c r="Q861" s="1"/>
      <c r="R861" s="1"/>
      <c r="S861" s="1"/>
      <c r="T861" s="1"/>
      <c r="U861" s="32"/>
      <c r="V861" s="1"/>
    </row>
    <row r="862" spans="1:22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32"/>
      <c r="O862" s="1"/>
      <c r="P862" s="1"/>
      <c r="Q862" s="1"/>
      <c r="R862" s="1"/>
      <c r="S862" s="1"/>
      <c r="T862" s="1"/>
      <c r="U862" s="32"/>
      <c r="V862" s="1"/>
    </row>
    <row r="863" spans="1:22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32"/>
      <c r="O863" s="1"/>
      <c r="P863" s="1"/>
      <c r="Q863" s="1"/>
      <c r="R863" s="1"/>
      <c r="S863" s="1"/>
      <c r="T863" s="1"/>
      <c r="U863" s="32"/>
      <c r="V863" s="1"/>
    </row>
    <row r="864" spans="1:22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32"/>
      <c r="O864" s="1"/>
      <c r="P864" s="1"/>
      <c r="Q864" s="1"/>
      <c r="R864" s="1"/>
      <c r="S864" s="1"/>
      <c r="T864" s="1"/>
      <c r="U864" s="32"/>
      <c r="V864" s="1"/>
    </row>
    <row r="865" spans="1:22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32"/>
      <c r="O865" s="1"/>
      <c r="P865" s="1"/>
      <c r="Q865" s="1"/>
      <c r="R865" s="1"/>
      <c r="S865" s="1"/>
      <c r="T865" s="1"/>
      <c r="U865" s="32"/>
      <c r="V865" s="1"/>
    </row>
    <row r="866" spans="1:22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32"/>
      <c r="O866" s="1"/>
      <c r="P866" s="1"/>
      <c r="Q866" s="1"/>
      <c r="R866" s="1"/>
      <c r="S866" s="1"/>
      <c r="T866" s="1"/>
      <c r="U866" s="32"/>
      <c r="V866" s="1"/>
    </row>
    <row r="867" spans="1:22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32"/>
      <c r="O867" s="1"/>
      <c r="P867" s="1"/>
      <c r="Q867" s="1"/>
      <c r="R867" s="1"/>
      <c r="S867" s="1"/>
      <c r="T867" s="1"/>
      <c r="U867" s="32"/>
      <c r="V867" s="1"/>
    </row>
    <row r="868" spans="1:22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32"/>
      <c r="O868" s="1"/>
      <c r="P868" s="1"/>
      <c r="Q868" s="1"/>
      <c r="R868" s="1"/>
      <c r="S868" s="1"/>
      <c r="T868" s="1"/>
      <c r="U868" s="32"/>
      <c r="V868" s="1"/>
    </row>
    <row r="869" spans="1:22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32"/>
      <c r="O869" s="1"/>
      <c r="P869" s="1"/>
      <c r="Q869" s="1"/>
      <c r="R869" s="1"/>
      <c r="S869" s="1"/>
      <c r="T869" s="1"/>
      <c r="U869" s="32"/>
      <c r="V869" s="1"/>
    </row>
    <row r="870" spans="1:22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32"/>
      <c r="O870" s="1"/>
      <c r="P870" s="1"/>
      <c r="Q870" s="1"/>
      <c r="R870" s="1"/>
      <c r="S870" s="1"/>
      <c r="T870" s="1"/>
      <c r="U870" s="32"/>
      <c r="V870" s="1"/>
    </row>
    <row r="871" spans="1:22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32"/>
      <c r="O871" s="1"/>
      <c r="P871" s="1"/>
      <c r="Q871" s="1"/>
      <c r="R871" s="1"/>
      <c r="S871" s="1"/>
      <c r="T871" s="1"/>
      <c r="U871" s="32"/>
      <c r="V871" s="1"/>
    </row>
    <row r="872" spans="1:22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32"/>
      <c r="O872" s="1"/>
      <c r="P872" s="1"/>
      <c r="Q872" s="1"/>
      <c r="R872" s="1"/>
      <c r="S872" s="1"/>
      <c r="T872" s="1"/>
      <c r="U872" s="32"/>
      <c r="V872" s="1"/>
    </row>
    <row r="873" spans="1:22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32"/>
      <c r="O873" s="1"/>
      <c r="P873" s="1"/>
      <c r="Q873" s="1"/>
      <c r="R873" s="1"/>
      <c r="S873" s="1"/>
      <c r="T873" s="1"/>
      <c r="U873" s="32"/>
      <c r="V873" s="1"/>
    </row>
    <row r="874" spans="1:22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32"/>
      <c r="O874" s="1"/>
      <c r="P874" s="1"/>
      <c r="Q874" s="1"/>
      <c r="R874" s="1"/>
      <c r="S874" s="1"/>
      <c r="T874" s="1"/>
      <c r="U874" s="32"/>
      <c r="V874" s="1"/>
    </row>
    <row r="875" spans="1:22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32"/>
      <c r="O875" s="1"/>
      <c r="P875" s="1"/>
      <c r="Q875" s="1"/>
      <c r="R875" s="1"/>
      <c r="S875" s="1"/>
      <c r="T875" s="1"/>
      <c r="U875" s="32"/>
      <c r="V875" s="1"/>
    </row>
    <row r="876" spans="1:22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32"/>
      <c r="O876" s="1"/>
      <c r="P876" s="1"/>
      <c r="Q876" s="1"/>
      <c r="R876" s="1"/>
      <c r="S876" s="1"/>
      <c r="T876" s="1"/>
      <c r="U876" s="32"/>
      <c r="V876" s="1"/>
    </row>
    <row r="877" spans="1:22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32"/>
      <c r="O877" s="1"/>
      <c r="P877" s="1"/>
      <c r="Q877" s="1"/>
      <c r="R877" s="1"/>
      <c r="S877" s="1"/>
      <c r="T877" s="1"/>
      <c r="U877" s="32"/>
      <c r="V877" s="1"/>
    </row>
    <row r="878" spans="1:22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32"/>
      <c r="O878" s="1"/>
      <c r="P878" s="1"/>
      <c r="Q878" s="1"/>
      <c r="R878" s="1"/>
      <c r="S878" s="1"/>
      <c r="T878" s="1"/>
      <c r="U878" s="32"/>
      <c r="V878" s="1"/>
    </row>
    <row r="879" spans="1:22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32"/>
      <c r="O879" s="1"/>
      <c r="P879" s="1"/>
      <c r="Q879" s="1"/>
      <c r="R879" s="1"/>
      <c r="S879" s="1"/>
      <c r="T879" s="1"/>
      <c r="U879" s="32"/>
      <c r="V879" s="1"/>
    </row>
    <row r="880" spans="1:22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32"/>
      <c r="O880" s="1"/>
      <c r="P880" s="1"/>
      <c r="Q880" s="1"/>
      <c r="R880" s="1"/>
      <c r="S880" s="1"/>
      <c r="T880" s="1"/>
      <c r="U880" s="32"/>
      <c r="V880" s="1"/>
    </row>
    <row r="881" spans="1:22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32"/>
      <c r="O881" s="1"/>
      <c r="P881" s="1"/>
      <c r="Q881" s="1"/>
      <c r="R881" s="1"/>
      <c r="S881" s="1"/>
      <c r="T881" s="1"/>
      <c r="U881" s="32"/>
      <c r="V881" s="1"/>
    </row>
    <row r="882" spans="1:22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32"/>
      <c r="O882" s="1"/>
      <c r="P882" s="1"/>
      <c r="Q882" s="1"/>
      <c r="R882" s="1"/>
      <c r="S882" s="1"/>
      <c r="T882" s="1"/>
      <c r="U882" s="32"/>
      <c r="V882" s="1"/>
    </row>
    <row r="883" spans="1:22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32"/>
      <c r="O883" s="1"/>
      <c r="P883" s="1"/>
      <c r="Q883" s="1"/>
      <c r="R883" s="1"/>
      <c r="S883" s="1"/>
      <c r="T883" s="1"/>
      <c r="U883" s="32"/>
      <c r="V883" s="1"/>
    </row>
    <row r="884" spans="1:22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32"/>
      <c r="O884" s="1"/>
      <c r="P884" s="1"/>
      <c r="Q884" s="1"/>
      <c r="R884" s="1"/>
      <c r="S884" s="1"/>
      <c r="T884" s="1"/>
      <c r="U884" s="32"/>
      <c r="V884" s="1"/>
    </row>
    <row r="885" spans="1:22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32"/>
      <c r="O885" s="1"/>
      <c r="P885" s="1"/>
      <c r="Q885" s="1"/>
      <c r="R885" s="1"/>
      <c r="S885" s="1"/>
      <c r="T885" s="1"/>
      <c r="U885" s="32"/>
      <c r="V885" s="1"/>
    </row>
    <row r="886" spans="1:22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32"/>
      <c r="O886" s="1"/>
      <c r="P886" s="1"/>
      <c r="Q886" s="1"/>
      <c r="R886" s="1"/>
      <c r="S886" s="1"/>
      <c r="T886" s="1"/>
      <c r="U886" s="32"/>
      <c r="V886" s="1"/>
    </row>
    <row r="887" spans="1:22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32"/>
      <c r="O887" s="1"/>
      <c r="P887" s="1"/>
      <c r="Q887" s="1"/>
      <c r="R887" s="1"/>
      <c r="S887" s="1"/>
      <c r="T887" s="1"/>
      <c r="U887" s="32"/>
      <c r="V887" s="1"/>
    </row>
    <row r="888" spans="1:22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32"/>
      <c r="O888" s="1"/>
      <c r="P888" s="1"/>
      <c r="Q888" s="1"/>
      <c r="R888" s="1"/>
      <c r="S888" s="1"/>
      <c r="T888" s="1"/>
      <c r="U888" s="32"/>
      <c r="V888" s="1"/>
    </row>
    <row r="889" spans="1:22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32"/>
      <c r="O889" s="1"/>
      <c r="P889" s="1"/>
      <c r="Q889" s="1"/>
      <c r="R889" s="1"/>
      <c r="S889" s="1"/>
      <c r="T889" s="1"/>
      <c r="U889" s="32"/>
      <c r="V889" s="1"/>
    </row>
    <row r="890" spans="1:22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32"/>
      <c r="O890" s="1"/>
      <c r="P890" s="1"/>
      <c r="Q890" s="1"/>
      <c r="R890" s="1"/>
      <c r="S890" s="1"/>
      <c r="T890" s="1"/>
      <c r="U890" s="32"/>
      <c r="V890" s="1"/>
    </row>
    <row r="891" spans="1:22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32"/>
      <c r="O891" s="1"/>
      <c r="P891" s="1"/>
      <c r="Q891" s="1"/>
      <c r="R891" s="1"/>
      <c r="S891" s="1"/>
      <c r="T891" s="1"/>
      <c r="U891" s="32"/>
      <c r="V891" s="1"/>
    </row>
    <row r="892" spans="1:22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32"/>
      <c r="O892" s="1"/>
      <c r="P892" s="1"/>
      <c r="Q892" s="1"/>
      <c r="R892" s="1"/>
      <c r="S892" s="1"/>
      <c r="T892" s="1"/>
      <c r="U892" s="32"/>
      <c r="V892" s="1"/>
    </row>
    <row r="893" spans="1:22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32"/>
      <c r="O893" s="1"/>
      <c r="P893" s="1"/>
      <c r="Q893" s="1"/>
      <c r="R893" s="1"/>
      <c r="S893" s="1"/>
      <c r="T893" s="1"/>
      <c r="U893" s="32"/>
      <c r="V893" s="1"/>
    </row>
    <row r="894" spans="1:22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32"/>
      <c r="O894" s="1"/>
      <c r="P894" s="1"/>
      <c r="Q894" s="1"/>
      <c r="R894" s="1"/>
      <c r="S894" s="1"/>
      <c r="T894" s="1"/>
      <c r="U894" s="32"/>
      <c r="V894" s="1"/>
    </row>
    <row r="895" spans="1:22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32"/>
      <c r="O895" s="1"/>
      <c r="P895" s="1"/>
      <c r="Q895" s="1"/>
      <c r="R895" s="1"/>
      <c r="S895" s="1"/>
      <c r="T895" s="1"/>
      <c r="U895" s="32"/>
      <c r="V895" s="1"/>
    </row>
    <row r="896" spans="1:22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32"/>
      <c r="O896" s="1"/>
      <c r="P896" s="1"/>
      <c r="Q896" s="1"/>
      <c r="R896" s="1"/>
      <c r="S896" s="1"/>
      <c r="T896" s="1"/>
      <c r="U896" s="32"/>
      <c r="V896" s="1"/>
    </row>
    <row r="897" spans="1:22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32"/>
      <c r="O897" s="1"/>
      <c r="P897" s="1"/>
      <c r="Q897" s="1"/>
      <c r="R897" s="1"/>
      <c r="S897" s="1"/>
      <c r="T897" s="1"/>
      <c r="U897" s="32"/>
      <c r="V897" s="1"/>
    </row>
    <row r="898" spans="1:22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32"/>
      <c r="O898" s="1"/>
      <c r="P898" s="1"/>
      <c r="Q898" s="1"/>
      <c r="R898" s="1"/>
      <c r="S898" s="1"/>
      <c r="T898" s="1"/>
      <c r="U898" s="32"/>
      <c r="V898" s="1"/>
    </row>
    <row r="899" spans="1:22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32"/>
      <c r="O899" s="1"/>
      <c r="P899" s="1"/>
      <c r="Q899" s="1"/>
      <c r="R899" s="1"/>
      <c r="S899" s="1"/>
      <c r="T899" s="1"/>
      <c r="U899" s="32"/>
      <c r="V899" s="1"/>
    </row>
    <row r="900" spans="1:22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32"/>
      <c r="O900" s="1"/>
      <c r="P900" s="1"/>
      <c r="Q900" s="1"/>
      <c r="R900" s="1"/>
      <c r="S900" s="1"/>
      <c r="T900" s="1"/>
      <c r="U900" s="32"/>
      <c r="V900" s="1"/>
    </row>
    <row r="901" spans="1:22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32"/>
      <c r="O901" s="1"/>
      <c r="P901" s="1"/>
      <c r="Q901" s="1"/>
      <c r="R901" s="1"/>
      <c r="S901" s="1"/>
      <c r="T901" s="1"/>
      <c r="U901" s="32"/>
      <c r="V901" s="1"/>
    </row>
    <row r="902" spans="1:22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32"/>
      <c r="O902" s="1"/>
      <c r="P902" s="1"/>
      <c r="Q902" s="1"/>
      <c r="R902" s="1"/>
      <c r="S902" s="1"/>
      <c r="T902" s="1"/>
      <c r="U902" s="32"/>
      <c r="V902" s="1"/>
    </row>
    <row r="903" spans="1:22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32"/>
      <c r="O903" s="1"/>
      <c r="P903" s="1"/>
      <c r="Q903" s="1"/>
      <c r="R903" s="1"/>
      <c r="S903" s="1"/>
      <c r="T903" s="1"/>
      <c r="U903" s="32"/>
      <c r="V903" s="1"/>
    </row>
    <row r="904" spans="1:22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32"/>
      <c r="O904" s="1"/>
      <c r="P904" s="1"/>
      <c r="Q904" s="1"/>
      <c r="R904" s="1"/>
      <c r="S904" s="1"/>
      <c r="T904" s="1"/>
      <c r="U904" s="32"/>
      <c r="V904" s="1"/>
    </row>
    <row r="905" spans="1:22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32"/>
      <c r="O905" s="1"/>
      <c r="P905" s="1"/>
      <c r="Q905" s="1"/>
      <c r="R905" s="1"/>
      <c r="S905" s="1"/>
      <c r="T905" s="1"/>
      <c r="U905" s="32"/>
      <c r="V905" s="1"/>
    </row>
    <row r="906" spans="1:22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32"/>
      <c r="O906" s="1"/>
      <c r="P906" s="1"/>
      <c r="Q906" s="1"/>
      <c r="R906" s="1"/>
      <c r="S906" s="1"/>
      <c r="T906" s="1"/>
      <c r="U906" s="32"/>
      <c r="V906" s="1"/>
    </row>
    <row r="907" spans="1:22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32"/>
      <c r="O907" s="1"/>
      <c r="P907" s="1"/>
      <c r="Q907" s="1"/>
      <c r="R907" s="1"/>
      <c r="S907" s="1"/>
      <c r="T907" s="1"/>
      <c r="U907" s="32"/>
      <c r="V907" s="1"/>
    </row>
    <row r="908" spans="1:22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32"/>
      <c r="O908" s="1"/>
      <c r="P908" s="1"/>
      <c r="Q908" s="1"/>
      <c r="R908" s="1"/>
      <c r="S908" s="1"/>
      <c r="T908" s="1"/>
      <c r="U908" s="32"/>
      <c r="V908" s="1"/>
    </row>
    <row r="909" spans="1:22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32"/>
      <c r="O909" s="1"/>
      <c r="P909" s="1"/>
      <c r="Q909" s="1"/>
      <c r="R909" s="1"/>
      <c r="S909" s="1"/>
      <c r="T909" s="1"/>
      <c r="U909" s="32"/>
      <c r="V909" s="1"/>
    </row>
    <row r="910" spans="1:22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32"/>
      <c r="O910" s="1"/>
      <c r="P910" s="1"/>
      <c r="Q910" s="1"/>
      <c r="R910" s="1"/>
      <c r="S910" s="1"/>
      <c r="T910" s="1"/>
      <c r="U910" s="32"/>
      <c r="V910" s="1"/>
    </row>
    <row r="911" spans="1:22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32"/>
      <c r="O911" s="1"/>
      <c r="P911" s="1"/>
      <c r="Q911" s="1"/>
      <c r="R911" s="1"/>
      <c r="S911" s="1"/>
      <c r="T911" s="1"/>
      <c r="U911" s="32"/>
      <c r="V911" s="1"/>
    </row>
    <row r="912" spans="1:22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32"/>
      <c r="O912" s="1"/>
      <c r="P912" s="1"/>
      <c r="Q912" s="1"/>
      <c r="R912" s="1"/>
      <c r="S912" s="1"/>
      <c r="T912" s="1"/>
      <c r="U912" s="32"/>
      <c r="V912" s="1"/>
    </row>
    <row r="913" spans="1:22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32"/>
      <c r="O913" s="1"/>
      <c r="P913" s="1"/>
      <c r="Q913" s="1"/>
      <c r="R913" s="1"/>
      <c r="S913" s="1"/>
      <c r="T913" s="1"/>
      <c r="U913" s="32"/>
      <c r="V913" s="1"/>
    </row>
    <row r="914" spans="1:22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32"/>
      <c r="O914" s="1"/>
      <c r="P914" s="1"/>
      <c r="Q914" s="1"/>
      <c r="R914" s="1"/>
      <c r="S914" s="1"/>
      <c r="T914" s="1"/>
      <c r="U914" s="32"/>
      <c r="V914" s="1"/>
    </row>
    <row r="915" spans="1:22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32"/>
      <c r="O915" s="1"/>
      <c r="P915" s="1"/>
      <c r="Q915" s="1"/>
      <c r="R915" s="1"/>
      <c r="S915" s="1"/>
      <c r="T915" s="1"/>
      <c r="U915" s="32"/>
      <c r="V915" s="1"/>
    </row>
    <row r="916" spans="1:22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32"/>
      <c r="O916" s="1"/>
      <c r="P916" s="1"/>
      <c r="Q916" s="1"/>
      <c r="R916" s="1"/>
      <c r="S916" s="1"/>
      <c r="T916" s="1"/>
      <c r="U916" s="32"/>
      <c r="V916" s="1"/>
    </row>
    <row r="917" spans="1:22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32"/>
      <c r="O917" s="1"/>
      <c r="P917" s="1"/>
      <c r="Q917" s="1"/>
      <c r="R917" s="1"/>
      <c r="S917" s="1"/>
      <c r="T917" s="1"/>
      <c r="U917" s="32"/>
      <c r="V917" s="1"/>
    </row>
    <row r="918" spans="1:22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32"/>
      <c r="O918" s="1"/>
      <c r="P918" s="1"/>
      <c r="Q918" s="1"/>
      <c r="R918" s="1"/>
      <c r="S918" s="1"/>
      <c r="T918" s="1"/>
      <c r="U918" s="32"/>
      <c r="V918" s="1"/>
    </row>
    <row r="919" spans="1:22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32"/>
      <c r="O919" s="1"/>
      <c r="P919" s="1"/>
      <c r="Q919" s="1"/>
      <c r="R919" s="1"/>
      <c r="S919" s="1"/>
      <c r="T919" s="1"/>
      <c r="U919" s="32"/>
      <c r="V919" s="1"/>
    </row>
    <row r="920" spans="1:22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32"/>
      <c r="O920" s="1"/>
      <c r="P920" s="1"/>
      <c r="Q920" s="1"/>
      <c r="R920" s="1"/>
      <c r="S920" s="1"/>
      <c r="T920" s="1"/>
      <c r="U920" s="32"/>
      <c r="V920" s="1"/>
    </row>
    <row r="921" spans="1:22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32"/>
      <c r="O921" s="1"/>
      <c r="P921" s="1"/>
      <c r="Q921" s="1"/>
      <c r="R921" s="1"/>
      <c r="S921" s="1"/>
      <c r="T921" s="1"/>
      <c r="U921" s="32"/>
      <c r="V921" s="1"/>
    </row>
    <row r="922" spans="1:22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32"/>
      <c r="O922" s="1"/>
      <c r="P922" s="1"/>
      <c r="Q922" s="1"/>
      <c r="R922" s="1"/>
      <c r="S922" s="1"/>
      <c r="T922" s="1"/>
      <c r="U922" s="32"/>
      <c r="V922" s="1"/>
    </row>
    <row r="923" spans="1:22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32"/>
      <c r="O923" s="1"/>
      <c r="P923" s="1"/>
      <c r="Q923" s="1"/>
      <c r="R923" s="1"/>
      <c r="S923" s="1"/>
      <c r="T923" s="1"/>
      <c r="U923" s="32"/>
      <c r="V923" s="1"/>
    </row>
    <row r="924" spans="1:22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32"/>
      <c r="O924" s="1"/>
      <c r="P924" s="1"/>
      <c r="Q924" s="1"/>
      <c r="R924" s="1"/>
      <c r="S924" s="1"/>
      <c r="T924" s="1"/>
      <c r="U924" s="32"/>
      <c r="V924" s="1"/>
    </row>
    <row r="925" spans="1:22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32"/>
      <c r="O925" s="1"/>
      <c r="P925" s="1"/>
      <c r="Q925" s="1"/>
      <c r="R925" s="1"/>
      <c r="S925" s="1"/>
      <c r="T925" s="1"/>
      <c r="U925" s="32"/>
      <c r="V925" s="1"/>
    </row>
    <row r="926" spans="1:22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32"/>
      <c r="O926" s="1"/>
      <c r="P926" s="1"/>
      <c r="Q926" s="1"/>
      <c r="R926" s="1"/>
      <c r="S926" s="1"/>
      <c r="T926" s="1"/>
      <c r="U926" s="32"/>
      <c r="V926" s="1"/>
    </row>
    <row r="927" spans="1:22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32"/>
      <c r="O927" s="1"/>
      <c r="P927" s="1"/>
      <c r="Q927" s="1"/>
      <c r="R927" s="1"/>
      <c r="S927" s="1"/>
      <c r="T927" s="1"/>
      <c r="U927" s="32"/>
      <c r="V927" s="1"/>
    </row>
    <row r="928" spans="1:22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32"/>
      <c r="O928" s="1"/>
      <c r="P928" s="1"/>
      <c r="Q928" s="1"/>
      <c r="R928" s="1"/>
      <c r="S928" s="1"/>
      <c r="T928" s="1"/>
      <c r="U928" s="32"/>
      <c r="V928" s="1"/>
    </row>
    <row r="929" spans="1:22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32"/>
      <c r="O929" s="1"/>
      <c r="P929" s="1"/>
      <c r="Q929" s="1"/>
      <c r="R929" s="1"/>
      <c r="S929" s="1"/>
      <c r="T929" s="1"/>
      <c r="U929" s="32"/>
      <c r="V929" s="1"/>
    </row>
    <row r="930" spans="1:22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32"/>
      <c r="O930" s="1"/>
      <c r="P930" s="1"/>
      <c r="Q930" s="1"/>
      <c r="R930" s="1"/>
      <c r="S930" s="1"/>
      <c r="T930" s="1"/>
      <c r="U930" s="32"/>
      <c r="V930" s="1"/>
    </row>
    <row r="931" spans="1:22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32"/>
      <c r="O931" s="1"/>
      <c r="P931" s="1"/>
      <c r="Q931" s="1"/>
      <c r="R931" s="1"/>
      <c r="S931" s="1"/>
      <c r="T931" s="1"/>
      <c r="U931" s="32"/>
      <c r="V931" s="1"/>
    </row>
    <row r="932" spans="1:22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32"/>
      <c r="O932" s="1"/>
      <c r="P932" s="1"/>
      <c r="Q932" s="1"/>
      <c r="R932" s="1"/>
      <c r="S932" s="1"/>
      <c r="T932" s="1"/>
      <c r="U932" s="32"/>
      <c r="V932" s="1"/>
    </row>
    <row r="933" spans="1:22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32"/>
      <c r="O933" s="1"/>
      <c r="P933" s="1"/>
      <c r="Q933" s="1"/>
      <c r="R933" s="1"/>
      <c r="S933" s="1"/>
      <c r="T933" s="1"/>
      <c r="U933" s="32"/>
      <c r="V933" s="1"/>
    </row>
    <row r="934" spans="1:22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32"/>
      <c r="O934" s="1"/>
      <c r="P934" s="1"/>
      <c r="Q934" s="1"/>
      <c r="R934" s="1"/>
      <c r="S934" s="1"/>
      <c r="T934" s="1"/>
      <c r="U934" s="32"/>
      <c r="V934" s="1"/>
    </row>
    <row r="935" spans="1:22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32"/>
      <c r="O935" s="1"/>
      <c r="P935" s="1"/>
      <c r="Q935" s="1"/>
      <c r="R935" s="1"/>
      <c r="S935" s="1"/>
      <c r="T935" s="1"/>
      <c r="U935" s="32"/>
      <c r="V935" s="1"/>
    </row>
    <row r="936" spans="1:22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32"/>
      <c r="O936" s="1"/>
      <c r="P936" s="1"/>
      <c r="Q936" s="1"/>
      <c r="R936" s="1"/>
      <c r="S936" s="1"/>
      <c r="T936" s="1"/>
      <c r="U936" s="32"/>
      <c r="V936" s="1"/>
    </row>
    <row r="937" spans="1:22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32"/>
      <c r="O937" s="1"/>
      <c r="P937" s="1"/>
      <c r="Q937" s="1"/>
      <c r="R937" s="1"/>
      <c r="S937" s="1"/>
      <c r="T937" s="1"/>
      <c r="U937" s="32"/>
      <c r="V937" s="1"/>
    </row>
    <row r="938" spans="1:22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32"/>
      <c r="O938" s="1"/>
      <c r="P938" s="1"/>
      <c r="Q938" s="1"/>
      <c r="R938" s="1"/>
      <c r="S938" s="1"/>
      <c r="T938" s="1"/>
      <c r="U938" s="32"/>
      <c r="V938" s="1"/>
    </row>
    <row r="939" spans="1:22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32"/>
      <c r="O939" s="1"/>
      <c r="P939" s="1"/>
      <c r="Q939" s="1"/>
      <c r="R939" s="1"/>
      <c r="S939" s="1"/>
      <c r="T939" s="1"/>
      <c r="U939" s="32"/>
      <c r="V939" s="1"/>
    </row>
    <row r="940" spans="1:22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32"/>
      <c r="O940" s="1"/>
      <c r="P940" s="1"/>
      <c r="Q940" s="1"/>
      <c r="R940" s="1"/>
      <c r="S940" s="1"/>
      <c r="T940" s="1"/>
      <c r="U940" s="32"/>
      <c r="V940" s="1"/>
    </row>
    <row r="941" spans="1:22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32"/>
      <c r="O941" s="1"/>
      <c r="P941" s="1"/>
      <c r="Q941" s="1"/>
      <c r="R941" s="1"/>
      <c r="S941" s="1"/>
      <c r="T941" s="1"/>
      <c r="U941" s="32"/>
      <c r="V941" s="1"/>
    </row>
    <row r="942" spans="1:22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32"/>
      <c r="O942" s="1"/>
      <c r="P942" s="1"/>
      <c r="Q942" s="1"/>
      <c r="R942" s="1"/>
      <c r="S942" s="1"/>
      <c r="T942" s="1"/>
      <c r="U942" s="32"/>
      <c r="V942" s="1"/>
    </row>
    <row r="943" spans="1:22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32"/>
      <c r="O943" s="1"/>
      <c r="P943" s="1"/>
      <c r="Q943" s="1"/>
      <c r="R943" s="1"/>
      <c r="S943" s="1"/>
      <c r="T943" s="1"/>
      <c r="U943" s="32"/>
      <c r="V943" s="1"/>
    </row>
    <row r="944" spans="1:22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32"/>
      <c r="O944" s="1"/>
      <c r="P944" s="1"/>
      <c r="Q944" s="1"/>
      <c r="R944" s="1"/>
      <c r="S944" s="1"/>
      <c r="T944" s="1"/>
      <c r="U944" s="32"/>
      <c r="V944" s="1"/>
    </row>
    <row r="945" spans="1:22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32"/>
      <c r="O945" s="1"/>
      <c r="P945" s="1"/>
      <c r="Q945" s="1"/>
      <c r="R945" s="1"/>
      <c r="S945" s="1"/>
      <c r="T945" s="1"/>
      <c r="U945" s="32"/>
      <c r="V945" s="1"/>
    </row>
    <row r="946" spans="1:22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32"/>
      <c r="O946" s="1"/>
      <c r="P946" s="1"/>
      <c r="Q946" s="1"/>
      <c r="R946" s="1"/>
      <c r="S946" s="1"/>
      <c r="T946" s="1"/>
      <c r="U946" s="32"/>
      <c r="V946" s="1"/>
    </row>
    <row r="947" spans="1:22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32"/>
      <c r="O947" s="1"/>
      <c r="P947" s="1"/>
      <c r="Q947" s="1"/>
      <c r="R947" s="1"/>
      <c r="S947" s="1"/>
      <c r="T947" s="1"/>
      <c r="U947" s="32"/>
      <c r="V947" s="1"/>
    </row>
    <row r="948" spans="1:22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32"/>
      <c r="O948" s="1"/>
      <c r="P948" s="1"/>
      <c r="Q948" s="1"/>
      <c r="R948" s="1"/>
      <c r="S948" s="1"/>
      <c r="T948" s="1"/>
      <c r="U948" s="32"/>
      <c r="V948" s="1"/>
    </row>
    <row r="949" spans="1:22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32"/>
      <c r="O949" s="1"/>
      <c r="P949" s="1"/>
      <c r="Q949" s="1"/>
      <c r="R949" s="1"/>
      <c r="S949" s="1"/>
      <c r="T949" s="1"/>
      <c r="U949" s="32"/>
      <c r="V949" s="1"/>
    </row>
    <row r="950" spans="1:22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32"/>
      <c r="O950" s="1"/>
      <c r="P950" s="1"/>
      <c r="Q950" s="1"/>
      <c r="R950" s="1"/>
      <c r="S950" s="1"/>
      <c r="T950" s="1"/>
      <c r="U950" s="32"/>
      <c r="V950" s="1"/>
    </row>
    <row r="951" spans="1:22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32"/>
      <c r="O951" s="1"/>
      <c r="P951" s="1"/>
      <c r="Q951" s="1"/>
      <c r="R951" s="1"/>
      <c r="S951" s="1"/>
      <c r="T951" s="1"/>
      <c r="U951" s="32"/>
      <c r="V951" s="1"/>
    </row>
    <row r="952" spans="1:22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32"/>
      <c r="O952" s="1"/>
      <c r="P952" s="1"/>
      <c r="Q952" s="1"/>
      <c r="R952" s="1"/>
      <c r="S952" s="1"/>
      <c r="T952" s="1"/>
      <c r="U952" s="32"/>
      <c r="V952" s="1"/>
    </row>
    <row r="953" spans="1:22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32"/>
      <c r="O953" s="1"/>
      <c r="P953" s="1"/>
      <c r="Q953" s="1"/>
      <c r="R953" s="1"/>
      <c r="S953" s="1"/>
      <c r="T953" s="1"/>
      <c r="U953" s="32"/>
      <c r="V953" s="1"/>
    </row>
    <row r="954" spans="1:22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32"/>
      <c r="O954" s="1"/>
      <c r="P954" s="1"/>
      <c r="Q954" s="1"/>
      <c r="R954" s="1"/>
      <c r="S954" s="1"/>
      <c r="T954" s="1"/>
      <c r="U954" s="32"/>
      <c r="V954" s="1"/>
    </row>
    <row r="955" spans="1:22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32"/>
      <c r="O955" s="1"/>
      <c r="P955" s="1"/>
      <c r="Q955" s="1"/>
      <c r="R955" s="1"/>
      <c r="S955" s="1"/>
      <c r="T955" s="1"/>
      <c r="U955" s="32"/>
      <c r="V955" s="1"/>
    </row>
    <row r="956" spans="1:22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32"/>
      <c r="O956" s="1"/>
      <c r="P956" s="1"/>
      <c r="Q956" s="1"/>
      <c r="R956" s="1"/>
      <c r="S956" s="1"/>
      <c r="T956" s="1"/>
      <c r="U956" s="32"/>
      <c r="V956" s="1"/>
    </row>
    <row r="957" spans="1:22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32"/>
      <c r="O957" s="1"/>
      <c r="P957" s="1"/>
      <c r="Q957" s="1"/>
      <c r="R957" s="1"/>
      <c r="S957" s="1"/>
      <c r="T957" s="1"/>
      <c r="U957" s="32"/>
      <c r="V957" s="1"/>
    </row>
    <row r="958" spans="1:22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32"/>
      <c r="O958" s="1"/>
      <c r="P958" s="1"/>
      <c r="Q958" s="1"/>
      <c r="R958" s="1"/>
      <c r="S958" s="1"/>
      <c r="T958" s="1"/>
      <c r="U958" s="32"/>
      <c r="V958" s="1"/>
    </row>
    <row r="959" spans="1:22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32"/>
      <c r="O959" s="1"/>
      <c r="P959" s="1"/>
      <c r="Q959" s="1"/>
      <c r="R959" s="1"/>
      <c r="S959" s="1"/>
      <c r="T959" s="1"/>
      <c r="U959" s="32"/>
      <c r="V959" s="1"/>
    </row>
    <row r="960" spans="1:22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32"/>
      <c r="O960" s="1"/>
      <c r="P960" s="1"/>
      <c r="Q960" s="1"/>
      <c r="R960" s="1"/>
      <c r="S960" s="1"/>
      <c r="T960" s="1"/>
      <c r="U960" s="32"/>
      <c r="V960" s="1"/>
    </row>
    <row r="961" spans="1:22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32"/>
      <c r="O961" s="1"/>
      <c r="P961" s="1"/>
      <c r="Q961" s="1"/>
      <c r="R961" s="1"/>
      <c r="S961" s="1"/>
      <c r="T961" s="1"/>
      <c r="U961" s="32"/>
      <c r="V961" s="1"/>
    </row>
    <row r="962" spans="1:22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32"/>
      <c r="O962" s="1"/>
      <c r="P962" s="1"/>
      <c r="Q962" s="1"/>
      <c r="R962" s="1"/>
      <c r="S962" s="1"/>
      <c r="T962" s="1"/>
      <c r="U962" s="32"/>
      <c r="V962" s="1"/>
    </row>
    <row r="963" spans="1:22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32"/>
      <c r="O963" s="1"/>
      <c r="P963" s="1"/>
      <c r="Q963" s="1"/>
      <c r="R963" s="1"/>
      <c r="S963" s="1"/>
      <c r="T963" s="1"/>
      <c r="U963" s="32"/>
      <c r="V963" s="1"/>
    </row>
    <row r="964" spans="1:22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32"/>
      <c r="O964" s="1"/>
      <c r="P964" s="1"/>
      <c r="Q964" s="1"/>
      <c r="R964" s="1"/>
      <c r="S964" s="1"/>
      <c r="T964" s="1"/>
      <c r="U964" s="32"/>
      <c r="V964" s="1"/>
    </row>
    <row r="965" spans="1:22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32"/>
      <c r="O965" s="1"/>
      <c r="P965" s="1"/>
      <c r="Q965" s="1"/>
      <c r="R965" s="1"/>
      <c r="S965" s="1"/>
      <c r="T965" s="1"/>
      <c r="U965" s="32"/>
      <c r="V965" s="1"/>
    </row>
    <row r="966" spans="1:22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32"/>
      <c r="O966" s="1"/>
      <c r="P966" s="1"/>
      <c r="Q966" s="1"/>
      <c r="R966" s="1"/>
      <c r="S966" s="1"/>
      <c r="T966" s="1"/>
      <c r="U966" s="32"/>
      <c r="V966" s="1"/>
    </row>
    <row r="967" spans="1:22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32"/>
      <c r="O967" s="1"/>
      <c r="P967" s="1"/>
      <c r="Q967" s="1"/>
      <c r="R967" s="1"/>
      <c r="S967" s="1"/>
      <c r="T967" s="1"/>
      <c r="U967" s="32"/>
      <c r="V967" s="1"/>
    </row>
    <row r="968" spans="1:22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32"/>
      <c r="O968" s="1"/>
      <c r="P968" s="1"/>
      <c r="Q968" s="1"/>
      <c r="R968" s="1"/>
      <c r="S968" s="1"/>
      <c r="T968" s="1"/>
      <c r="U968" s="32"/>
      <c r="V968" s="1"/>
    </row>
    <row r="969" spans="1:22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32"/>
      <c r="O969" s="1"/>
      <c r="P969" s="1"/>
      <c r="Q969" s="1"/>
      <c r="R969" s="1"/>
      <c r="S969" s="1"/>
      <c r="T969" s="1"/>
      <c r="U969" s="32"/>
      <c r="V969" s="1"/>
    </row>
    <row r="970" spans="1:22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32"/>
      <c r="O970" s="1"/>
      <c r="P970" s="1"/>
      <c r="Q970" s="1"/>
      <c r="R970" s="1"/>
      <c r="S970" s="1"/>
      <c r="T970" s="1"/>
      <c r="U970" s="32"/>
      <c r="V970" s="1"/>
    </row>
    <row r="971" spans="1:22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32"/>
      <c r="O971" s="1"/>
      <c r="P971" s="1"/>
      <c r="Q971" s="1"/>
      <c r="R971" s="1"/>
      <c r="S971" s="1"/>
      <c r="T971" s="1"/>
      <c r="U971" s="32"/>
      <c r="V971" s="1"/>
    </row>
    <row r="972" spans="1:22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32"/>
      <c r="O972" s="1"/>
      <c r="P972" s="1"/>
      <c r="Q972" s="1"/>
      <c r="R972" s="1"/>
      <c r="S972" s="1"/>
      <c r="T972" s="1"/>
      <c r="U972" s="32"/>
      <c r="V972" s="1"/>
    </row>
    <row r="973" spans="1:22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32"/>
      <c r="O973" s="1"/>
      <c r="P973" s="1"/>
      <c r="Q973" s="1"/>
      <c r="R973" s="1"/>
      <c r="S973" s="1"/>
      <c r="T973" s="1"/>
      <c r="U973" s="32"/>
      <c r="V973" s="1"/>
    </row>
    <row r="974" spans="1:22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32"/>
      <c r="O974" s="1"/>
      <c r="P974" s="1"/>
      <c r="Q974" s="1"/>
      <c r="R974" s="1"/>
      <c r="S974" s="1"/>
      <c r="T974" s="1"/>
      <c r="U974" s="32"/>
      <c r="V974" s="1"/>
    </row>
    <row r="975" spans="1:22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32"/>
      <c r="O975" s="1"/>
      <c r="P975" s="1"/>
      <c r="Q975" s="1"/>
      <c r="R975" s="1"/>
      <c r="S975" s="1"/>
      <c r="T975" s="1"/>
      <c r="U975" s="32"/>
      <c r="V975" s="1"/>
    </row>
    <row r="976" spans="1:22" ht="1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32"/>
      <c r="O976" s="1"/>
      <c r="P976" s="1"/>
      <c r="Q976" s="1"/>
      <c r="R976" s="1"/>
      <c r="S976" s="1"/>
      <c r="T976" s="1"/>
      <c r="U976" s="32"/>
      <c r="V976" s="1"/>
    </row>
    <row r="977" spans="1:22" ht="1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32"/>
      <c r="O977" s="1"/>
      <c r="P977" s="1"/>
      <c r="Q977" s="1"/>
      <c r="R977" s="1"/>
      <c r="S977" s="1"/>
      <c r="T977" s="1"/>
      <c r="U977" s="32"/>
      <c r="V977" s="1"/>
    </row>
    <row r="978" spans="1:22" ht="1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32"/>
      <c r="O978" s="1"/>
      <c r="P978" s="1"/>
      <c r="Q978" s="1"/>
      <c r="R978" s="1"/>
      <c r="S978" s="1"/>
      <c r="T978" s="1"/>
      <c r="U978" s="32"/>
      <c r="V978" s="1"/>
    </row>
    <row r="979" spans="1:22" ht="1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32"/>
      <c r="O979" s="1"/>
      <c r="P979" s="1"/>
      <c r="Q979" s="1"/>
      <c r="R979" s="1"/>
      <c r="S979" s="1"/>
      <c r="T979" s="1"/>
      <c r="U979" s="32"/>
      <c r="V979" s="1"/>
    </row>
    <row r="980" spans="1:22" ht="1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32"/>
      <c r="O980" s="1"/>
      <c r="P980" s="1"/>
      <c r="Q980" s="1"/>
      <c r="R980" s="1"/>
      <c r="S980" s="1"/>
      <c r="T980" s="1"/>
      <c r="U980" s="32"/>
      <c r="V980" s="1"/>
    </row>
    <row r="981" spans="1:22" ht="1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32"/>
      <c r="O981" s="1"/>
      <c r="P981" s="1"/>
      <c r="Q981" s="1"/>
      <c r="R981" s="1"/>
      <c r="S981" s="1"/>
      <c r="T981" s="1"/>
      <c r="U981" s="32"/>
      <c r="V981" s="1"/>
    </row>
    <row r="982" spans="1:22" ht="1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32"/>
      <c r="O982" s="1"/>
      <c r="P982" s="1"/>
      <c r="Q982" s="1"/>
      <c r="R982" s="1"/>
      <c r="S982" s="1"/>
      <c r="T982" s="1"/>
      <c r="U982" s="32"/>
      <c r="V982" s="1"/>
    </row>
    <row r="983" spans="1:22" ht="1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32"/>
      <c r="O983" s="1"/>
      <c r="P983" s="1"/>
      <c r="Q983" s="1"/>
      <c r="R983" s="1"/>
      <c r="S983" s="1"/>
      <c r="T983" s="1"/>
      <c r="U983" s="32"/>
      <c r="V983" s="1"/>
    </row>
    <row r="984" spans="1:22" ht="1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32"/>
      <c r="O984" s="1"/>
      <c r="P984" s="1"/>
      <c r="Q984" s="1"/>
      <c r="R984" s="1"/>
      <c r="S984" s="1"/>
      <c r="T984" s="1"/>
      <c r="U984" s="32"/>
      <c r="V984" s="1"/>
    </row>
    <row r="985" spans="1:22" ht="1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32"/>
      <c r="O985" s="1"/>
      <c r="P985" s="1"/>
      <c r="Q985" s="1"/>
      <c r="R985" s="1"/>
      <c r="S985" s="1"/>
      <c r="T985" s="1"/>
      <c r="U985" s="32"/>
      <c r="V985" s="1"/>
    </row>
    <row r="986" spans="1:22" ht="1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32"/>
      <c r="O986" s="1"/>
      <c r="P986" s="1"/>
      <c r="Q986" s="1"/>
      <c r="R986" s="1"/>
      <c r="S986" s="1"/>
      <c r="T986" s="1"/>
      <c r="U986" s="32"/>
      <c r="V986" s="1"/>
    </row>
    <row r="987" spans="1:22" ht="1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32"/>
      <c r="O987" s="1"/>
      <c r="P987" s="1"/>
      <c r="Q987" s="1"/>
      <c r="R987" s="1"/>
      <c r="S987" s="1"/>
      <c r="T987" s="1"/>
      <c r="U987" s="32"/>
      <c r="V987" s="1"/>
    </row>
    <row r="988" spans="1:22" ht="1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32"/>
      <c r="O988" s="1"/>
      <c r="P988" s="1"/>
      <c r="Q988" s="1"/>
      <c r="R988" s="1"/>
      <c r="S988" s="1"/>
      <c r="T988" s="1"/>
      <c r="U988" s="32"/>
      <c r="V988" s="1"/>
    </row>
    <row r="989" spans="1:22" ht="1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32"/>
      <c r="O989" s="1"/>
      <c r="P989" s="1"/>
      <c r="Q989" s="1"/>
      <c r="R989" s="1"/>
      <c r="S989" s="1"/>
      <c r="T989" s="1"/>
      <c r="U989" s="32"/>
      <c r="V989" s="1"/>
    </row>
    <row r="990" spans="1:22" ht="1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32"/>
      <c r="O990" s="1"/>
      <c r="P990" s="1"/>
      <c r="Q990" s="1"/>
      <c r="R990" s="1"/>
      <c r="S990" s="1"/>
      <c r="T990" s="1"/>
      <c r="U990" s="32"/>
      <c r="V990" s="1"/>
    </row>
    <row r="991" spans="1:22" ht="1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32"/>
      <c r="O991" s="1"/>
      <c r="P991" s="1"/>
      <c r="Q991" s="1"/>
      <c r="R991" s="1"/>
      <c r="S991" s="1"/>
      <c r="T991" s="1"/>
      <c r="U991" s="32"/>
      <c r="V991" s="1"/>
    </row>
    <row r="992" spans="1:22" ht="1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32"/>
      <c r="O992" s="1"/>
      <c r="P992" s="1"/>
      <c r="Q992" s="1"/>
      <c r="R992" s="1"/>
      <c r="S992" s="1"/>
      <c r="T992" s="1"/>
      <c r="U992" s="32"/>
      <c r="V992" s="1"/>
    </row>
    <row r="993" spans="1:22" ht="1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32"/>
      <c r="O993" s="1"/>
      <c r="P993" s="1"/>
      <c r="Q993" s="1"/>
      <c r="R993" s="1"/>
      <c r="S993" s="1"/>
      <c r="T993" s="1"/>
      <c r="U993" s="32"/>
      <c r="V993" s="1"/>
    </row>
    <row r="994" spans="1:22" ht="1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32"/>
      <c r="O994" s="1"/>
      <c r="P994" s="1"/>
      <c r="Q994" s="1"/>
      <c r="R994" s="1"/>
      <c r="S994" s="1"/>
      <c r="T994" s="1"/>
      <c r="U994" s="32"/>
      <c r="V994" s="1"/>
    </row>
    <row r="995" spans="1:22" ht="1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32"/>
      <c r="O995" s="1"/>
      <c r="P995" s="1"/>
      <c r="Q995" s="1"/>
      <c r="R995" s="1"/>
      <c r="S995" s="1"/>
      <c r="T995" s="1"/>
      <c r="U995" s="32"/>
      <c r="V995" s="1"/>
    </row>
    <row r="996" spans="1:22" ht="1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32"/>
      <c r="O996" s="1"/>
      <c r="P996" s="1"/>
      <c r="Q996" s="1"/>
      <c r="R996" s="1"/>
      <c r="S996" s="1"/>
      <c r="T996" s="1"/>
      <c r="U996" s="32"/>
      <c r="V996" s="1"/>
    </row>
    <row r="997" spans="1:22" ht="1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32"/>
      <c r="O997" s="1"/>
      <c r="P997" s="1"/>
      <c r="Q997" s="1"/>
      <c r="R997" s="1"/>
      <c r="S997" s="1"/>
      <c r="T997" s="1"/>
      <c r="U997" s="32"/>
      <c r="V997" s="1"/>
    </row>
    <row r="998" spans="1:22" ht="1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32"/>
      <c r="O998" s="1"/>
      <c r="P998" s="1"/>
      <c r="Q998" s="1"/>
      <c r="R998" s="1"/>
      <c r="S998" s="1"/>
      <c r="T998" s="1"/>
      <c r="U998" s="32"/>
      <c r="V998" s="1"/>
    </row>
    <row r="999" spans="1:22" ht="1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32"/>
      <c r="O999" s="1"/>
      <c r="P999" s="1"/>
      <c r="Q999" s="1"/>
      <c r="R999" s="1"/>
      <c r="S999" s="1"/>
      <c r="T999" s="1"/>
      <c r="U999" s="32"/>
      <c r="V999" s="1"/>
    </row>
  </sheetData>
  <mergeCells count="2">
    <mergeCell ref="I1:N1"/>
    <mergeCell ref="O1:U1"/>
  </mergeCells>
  <hyperlinks>
    <hyperlink ref="F2" r:id="rId1" display="http://yale.instructure.com/"/>
    <hyperlink ref="F3" r:id="rId2" display="http://yale.instructure.com/"/>
    <hyperlink ref="F4" r:id="rId3" display="http://yale.instructure.com/"/>
    <hyperlink ref="F5" r:id="rId4" display="http://yale.instructure.com/"/>
    <hyperlink ref="F6" r:id="rId5" display="http://yale.instructure.com/"/>
    <hyperlink ref="F7" r:id="rId6" display="http://yale.instructure.com/"/>
    <hyperlink ref="F8" r:id="rId7" display="http://yale.instructure.com/"/>
    <hyperlink ref="F9" r:id="rId8" display="http://yale.instructure.com/"/>
    <hyperlink ref="F10" r:id="rId9" display="http://yale.instructure.com/"/>
    <hyperlink ref="F11" r:id="rId10" display="http://yale.instructure.com/"/>
    <hyperlink ref="F12" r:id="rId11" display="http://yale.instructure.com/"/>
    <hyperlink ref="F13" r:id="rId12" display="http://yale.instructure.com/"/>
    <hyperlink ref="F14" r:id="rId13" display="http://yale.instructure.com/"/>
    <hyperlink ref="F15" r:id="rId14" display="http://yale.instructure.com/"/>
    <hyperlink ref="F16" r:id="rId15" display="http://yale.instructure.com/"/>
    <hyperlink ref="F17" r:id="rId16" display="http://yale.instructure.com/"/>
    <hyperlink ref="F18" r:id="rId17" display="http://yale.instructure.com/"/>
    <hyperlink ref="F19" r:id="rId18" display="http://yale.instructure.com/"/>
    <hyperlink ref="F20" r:id="rId19" display="http://yale.instructure.com/"/>
    <hyperlink ref="F21" r:id="rId20" display="http://yale.instructure.com/"/>
    <hyperlink ref="F22" r:id="rId21" display="http://yale.instructure.com/"/>
    <hyperlink ref="F23" r:id="rId22" display="http://yale.instructure.com/"/>
    <hyperlink ref="F24" r:id="rId23" display="http://yale.instructure.com/"/>
    <hyperlink ref="F25" r:id="rId24" display="http://yale.instructure.com/"/>
    <hyperlink ref="F26" r:id="rId25" display="http://yale.instructure.com/"/>
    <hyperlink ref="F27" r:id="rId26" display="http://yale.instructure.com/"/>
    <hyperlink ref="F28" r:id="rId27" display="http://yale.instructure.com/"/>
    <hyperlink ref="F29" r:id="rId28" display="http://yale.instructure.com/"/>
    <hyperlink ref="F30" r:id="rId29" display="http://yale.instructure.com/"/>
    <hyperlink ref="F31" r:id="rId30" display="http://yale.instructure.com/"/>
    <hyperlink ref="F32" r:id="rId31" display="http://yale.instructure.com/"/>
    <hyperlink ref="F33" r:id="rId32" display="http://yale.instructure.com/"/>
    <hyperlink ref="F34" r:id="rId33" display="http://yale.instructure.com/"/>
    <hyperlink ref="F35" r:id="rId34" display="http://yale.instructure.com/"/>
    <hyperlink ref="F36" r:id="rId35" display="http://yale.instructure.com/"/>
    <hyperlink ref="F37" r:id="rId36" display="http://yale.instructure.com/"/>
    <hyperlink ref="F38" r:id="rId37" display="http://yale.instructure.com/"/>
    <hyperlink ref="F39" r:id="rId38" display="http://yale.instructure.com/"/>
    <hyperlink ref="F40" r:id="rId39" display="http://yale.instructure.com/"/>
    <hyperlink ref="F41" r:id="rId40" display="http://yale.instructure.com/"/>
    <hyperlink ref="F42" r:id="rId41" display="http://yale.instructure.com/"/>
    <hyperlink ref="F43" r:id="rId42" display="http://yale.instructure.com/"/>
    <hyperlink ref="F44" r:id="rId43" display="http://yale.instructure.com/"/>
    <hyperlink ref="F45" r:id="rId44" display="http://yale.instructure.com/"/>
    <hyperlink ref="F46" r:id="rId45" display="http://yale.instructure.com/"/>
    <hyperlink ref="F47" r:id="rId46" display="http://yale.instructure.com/"/>
    <hyperlink ref="F48" r:id="rId47" display="http://yale.instructure.com/"/>
    <hyperlink ref="F49" r:id="rId48" display="http://yale.instructure.com/"/>
    <hyperlink ref="F50" r:id="rId49" display="http://yale.instructure.com/"/>
    <hyperlink ref="F51" r:id="rId50" display="http://yale.instructure.com/"/>
    <hyperlink ref="F52" r:id="rId51" display="http://yale.instructure.com/"/>
    <hyperlink ref="F53" r:id="rId52" display="http://yale.instructure.com/"/>
    <hyperlink ref="F54" r:id="rId53" display="http://yale.instructure.com/"/>
    <hyperlink ref="F55" r:id="rId54" display="http://yale.instructure.com/"/>
    <hyperlink ref="F56" r:id="rId55" display="http://yale.instructure.com/"/>
    <hyperlink ref="F57" r:id="rId56" display="http://yale.instructure.com/"/>
    <hyperlink ref="F58" r:id="rId57" display="http://yale.instructure.com/"/>
    <hyperlink ref="F59" r:id="rId58" display="http://yale.instructure.com/"/>
    <hyperlink ref="F60" r:id="rId59" display="http://yale.instructure.com/"/>
    <hyperlink ref="F61" r:id="rId60" display="http://yale.instructure.com/"/>
    <hyperlink ref="F62" r:id="rId61" display="http://yale.instructure.com/"/>
    <hyperlink ref="F63" r:id="rId62" display="http://yale.instructure.com/"/>
    <hyperlink ref="F64" r:id="rId63" display="http://yale.instructure.com/"/>
    <hyperlink ref="F65" r:id="rId64" display="http://yale.instructure.com/"/>
    <hyperlink ref="F66" r:id="rId65" display="http://yale.instructure.com/"/>
    <hyperlink ref="F67" r:id="rId66" display="http://yale.instructure.com/"/>
    <hyperlink ref="F68" r:id="rId67" display="http://yale.instructure.com/"/>
    <hyperlink ref="F69" r:id="rId68" display="http://yale.instructure.com/"/>
    <hyperlink ref="F70" r:id="rId69" display="http://yale.instructure.com/"/>
    <hyperlink ref="F71" r:id="rId70" display="http://yale.instructure.com/"/>
    <hyperlink ref="F72" r:id="rId71" display="http://yale.instructure.com/"/>
    <hyperlink ref="F73" r:id="rId72" display="http://yale.instructure.com/"/>
    <hyperlink ref="F74" r:id="rId73" display="http://yale.instructure.com/"/>
    <hyperlink ref="F75" r:id="rId74" display="http://yale.instructure.com/"/>
    <hyperlink ref="F76" r:id="rId75" display="http://yale.instructure.com/"/>
    <hyperlink ref="F77" r:id="rId76" display="http://yale.instructure.com/"/>
    <hyperlink ref="F78" r:id="rId77" display="http://yale.instructure.com/"/>
    <hyperlink ref="F79" r:id="rId78" display="http://yale.instructure.com/"/>
    <hyperlink ref="F80" r:id="rId79" display="http://yale.instructure.com/"/>
    <hyperlink ref="F81" r:id="rId80" display="http://yale.instructure.com/"/>
    <hyperlink ref="F82" r:id="rId81" display="http://yale.instructure.com/"/>
    <hyperlink ref="F83" r:id="rId82" display="http://yale.instructure.com/"/>
    <hyperlink ref="F84" r:id="rId83" display="http://yale.instructure.com/"/>
    <hyperlink ref="F85" r:id="rId84" display="http://yale.instructure.com/"/>
    <hyperlink ref="F86" r:id="rId85" display="http://yale.instructure.com/"/>
    <hyperlink ref="F87" r:id="rId86" display="http://yale.instructure.com/"/>
    <hyperlink ref="F88" r:id="rId87" display="http://yale.instructure.com/"/>
    <hyperlink ref="F89" r:id="rId88" display="http://yale.instructure.com/"/>
    <hyperlink ref="F90" r:id="rId89" display="http://yale.instructure.com/"/>
    <hyperlink ref="F91" r:id="rId90" display="http://yale.instructure.com/"/>
    <hyperlink ref="F92" r:id="rId91" display="http://yale.instructure.com/"/>
    <hyperlink ref="F93" r:id="rId92" display="http://yale.instructure.com/"/>
    <hyperlink ref="F94" r:id="rId93" display="http://yale.instructure.com/"/>
    <hyperlink ref="F95" r:id="rId94" display="http://yale.instructure.com/"/>
    <hyperlink ref="F96" r:id="rId95" display="http://yale.instructure.com/"/>
    <hyperlink ref="F97" r:id="rId96" display="http://yale.instructure.com/"/>
    <hyperlink ref="F98" r:id="rId97" display="http://yale.instructure.com/"/>
    <hyperlink ref="F99" r:id="rId98" display="http://yale.instructure.com/"/>
    <hyperlink ref="F100" r:id="rId99" display="http://yale.instructure.com/"/>
    <hyperlink ref="F101" r:id="rId100" display="http://yale.instructure.com/"/>
    <hyperlink ref="F102" r:id="rId101" display="http://yale.instructure.com/"/>
    <hyperlink ref="F103" r:id="rId102" display="http://yale.instructure.com/"/>
    <hyperlink ref="F104" r:id="rId103" display="http://yale.instructure.com/"/>
    <hyperlink ref="F105" r:id="rId104" display="http://yale.instructure.com/"/>
    <hyperlink ref="F106" r:id="rId105" display="http://yale.instructure.com/"/>
    <hyperlink ref="F107" r:id="rId106" display="http://yale.instructure.com/"/>
    <hyperlink ref="F108" r:id="rId107" display="http://yale.instructure.com/"/>
    <hyperlink ref="F109" r:id="rId108" display="http://yale.instructure.com/"/>
    <hyperlink ref="F110" r:id="rId109" display="http://yale.instructure.com/"/>
    <hyperlink ref="F111" r:id="rId110" display="http://yale.instructure.com/"/>
    <hyperlink ref="F112" r:id="rId111" display="http://yale.instructure.com/"/>
    <hyperlink ref="F113" r:id="rId112" display="http://yale.instructure.com/"/>
    <hyperlink ref="F114" r:id="rId113" display="http://yale.instructure.com/"/>
    <hyperlink ref="F115" r:id="rId114" display="http://yale.instructure.com/"/>
    <hyperlink ref="F116" r:id="rId115" display="http://yale.instructure.com/"/>
    <hyperlink ref="F117" r:id="rId116" display="http://yale.instructure.com/"/>
    <hyperlink ref="F118" r:id="rId117" display="http://yale.instructure.com/"/>
    <hyperlink ref="F119" r:id="rId118" display="http://yale.instructure.com/"/>
    <hyperlink ref="F120" r:id="rId119" display="http://yale.instructure.com/"/>
    <hyperlink ref="F121" r:id="rId120" display="http://yale.instructure.com/"/>
    <hyperlink ref="F122" r:id="rId121" display="http://yale.instructure.com/"/>
    <hyperlink ref="F123" r:id="rId122" display="http://yale.instructure.com/"/>
    <hyperlink ref="F124" r:id="rId123" display="http://yale.instructure.com/"/>
    <hyperlink ref="F125" r:id="rId124" display="http://yale.instructure.com/"/>
    <hyperlink ref="F126" r:id="rId125" display="http://yale.instructure.com/"/>
    <hyperlink ref="F127" r:id="rId126" display="http://yale.instructure.com/"/>
    <hyperlink ref="F128" r:id="rId127" display="http://yale.instructure.com/"/>
    <hyperlink ref="F129" r:id="rId128" display="http://yale.instructure.com/"/>
    <hyperlink ref="F130" r:id="rId129" display="http://yale.instructure.com/"/>
    <hyperlink ref="F131" r:id="rId130" display="http://yale.instructure.com/"/>
    <hyperlink ref="F132" r:id="rId131" display="http://yale.instructure.com/"/>
    <hyperlink ref="F133" r:id="rId132" display="http://yale.instructure.com/"/>
    <hyperlink ref="F134" r:id="rId133" display="http://yale.instructure.com/"/>
    <hyperlink ref="F135" r:id="rId134" display="http://yale.instructure.com/"/>
    <hyperlink ref="F136" r:id="rId135" display="http://yale.instructure.com/"/>
    <hyperlink ref="F137" r:id="rId136" display="http://yale.instructure.com/"/>
    <hyperlink ref="F138" r:id="rId137" display="http://yale.instructure.com/"/>
    <hyperlink ref="F139" r:id="rId138" display="http://yale.instructure.com/"/>
    <hyperlink ref="F140" r:id="rId139" display="http://yale.instructure.com/"/>
    <hyperlink ref="F141" r:id="rId140" display="http://yale.instructure.com/"/>
    <hyperlink ref="F142" r:id="rId141" display="http://yale.instructure.com/"/>
    <hyperlink ref="F143" r:id="rId142" display="http://yale.instructure.com/"/>
    <hyperlink ref="F144" r:id="rId143" display="http://yale.instructure.com/"/>
    <hyperlink ref="F145" r:id="rId144" display="http://yale.instructure.com/"/>
    <hyperlink ref="F146" r:id="rId145" display="http://yale.instructure.com/"/>
    <hyperlink ref="F147" r:id="rId146" display="http://yale.instructure.com/"/>
    <hyperlink ref="F148" r:id="rId147" display="http://yale.instructure.com/"/>
    <hyperlink ref="F149" r:id="rId148" display="http://yale.instructure.com/"/>
    <hyperlink ref="F150" r:id="rId149" display="http://yale.instructure.com/"/>
    <hyperlink ref="F151" r:id="rId150" display="http://yale.instructure.com/"/>
    <hyperlink ref="F152" r:id="rId151" display="http://yale.instructure.com/"/>
    <hyperlink ref="F153" r:id="rId152" display="http://yale.instructure.com/"/>
    <hyperlink ref="F154" r:id="rId153" display="http://yale.instructure.com/"/>
    <hyperlink ref="F155" r:id="rId154" display="http://yale.instructure.com/"/>
    <hyperlink ref="F156" r:id="rId155" display="http://yale.instructure.com/"/>
    <hyperlink ref="F157" r:id="rId156" display="http://yale.instructure.com/"/>
    <hyperlink ref="F158" r:id="rId157" display="http://yale.instructure.com/"/>
    <hyperlink ref="F159" r:id="rId158" display="http://yale.instructure.com/"/>
    <hyperlink ref="F160" r:id="rId159" display="http://yale.instructure.com/"/>
    <hyperlink ref="F161" r:id="rId160" display="http://yale.instructure.com/"/>
    <hyperlink ref="F162" r:id="rId161" display="http://yale.instructure.com/"/>
    <hyperlink ref="F163" r:id="rId162" display="http://yale.instructure.com/"/>
    <hyperlink ref="F164" r:id="rId163" display="http://yale.instructure.com/"/>
    <hyperlink ref="F165" r:id="rId164" display="http://yale.instructure.com/"/>
    <hyperlink ref="F166" r:id="rId165" display="http://yale.instructure.com/"/>
    <hyperlink ref="F167" r:id="rId166" display="http://yale.instructure.com/"/>
    <hyperlink ref="F168" r:id="rId167" display="http://yale.instructure.com/"/>
    <hyperlink ref="F169" r:id="rId168" display="http://yale.instructure.com/"/>
    <hyperlink ref="F170" r:id="rId169" display="http://yale.instructure.com/"/>
    <hyperlink ref="F171" r:id="rId170" display="http://yale.instructure.com/"/>
    <hyperlink ref="F172" r:id="rId171" display="http://yale.instructure.com/"/>
    <hyperlink ref="F173" r:id="rId172" display="http://yale.instructure.com/"/>
    <hyperlink ref="F174" r:id="rId173" display="http://yale.instructure.com/"/>
    <hyperlink ref="F175" r:id="rId174" display="http://yale.instructure.com/"/>
    <hyperlink ref="F176" r:id="rId175" display="http://yale.instructure.com/"/>
    <hyperlink ref="F177" r:id="rId176" display="http://yale.instructure.com/"/>
    <hyperlink ref="F178" r:id="rId177" display="http://yale.instructure.com/"/>
    <hyperlink ref="F179" r:id="rId178" display="http://yale.instructure.com/"/>
    <hyperlink ref="F180" r:id="rId179" display="http://yale.instructure.com/"/>
    <hyperlink ref="F181" r:id="rId180" display="http://yale.instructure.com/"/>
    <hyperlink ref="F182" r:id="rId181" display="http://yale.instructure.com/"/>
    <hyperlink ref="F183" r:id="rId182" display="http://yale.instructure.com/"/>
    <hyperlink ref="F184" r:id="rId183" display="http://yale.instructure.com/"/>
    <hyperlink ref="F185" r:id="rId184" display="http://yale.instructure.com/"/>
    <hyperlink ref="F186" r:id="rId185" display="http://yale.instructure.com/"/>
    <hyperlink ref="F187" r:id="rId186" display="http://yale.instructure.com/"/>
    <hyperlink ref="F188" r:id="rId187" display="http://yale.instructure.com/"/>
    <hyperlink ref="F189" r:id="rId188" display="http://yale.instructure.com/"/>
    <hyperlink ref="F190" r:id="rId189" display="http://yale.instructure.com/"/>
    <hyperlink ref="F191" r:id="rId190" display="http://yale.instructure.com/"/>
    <hyperlink ref="F192" r:id="rId191" display="http://yale.instructure.com/"/>
    <hyperlink ref="F193" r:id="rId192" display="http://yale.instructure.com/"/>
    <hyperlink ref="F194" r:id="rId193" display="http://yale.instructure.com/"/>
    <hyperlink ref="F195" r:id="rId194" display="http://yale.instructure.com/"/>
    <hyperlink ref="F196" r:id="rId195" display="http://yale.instructure.com/"/>
    <hyperlink ref="F197" r:id="rId196" display="http://yale.instructure.com/"/>
    <hyperlink ref="F198" r:id="rId197" display="http://yale.instructure.com/"/>
    <hyperlink ref="F199" r:id="rId198" display="http://yale.instructure.com/"/>
    <hyperlink ref="F200" r:id="rId199" display="http://yale.instructure.com/"/>
    <hyperlink ref="F201" r:id="rId200" display="http://yale.instructure.com/"/>
    <hyperlink ref="F202" r:id="rId201" display="http://yale.instructure.com/"/>
    <hyperlink ref="F203" r:id="rId202" display="http://yale.instructure.com/"/>
    <hyperlink ref="F204" r:id="rId203" display="http://yale.instructure.com/"/>
    <hyperlink ref="F205" r:id="rId204" display="http://yale.instructure.com/"/>
    <hyperlink ref="F206" r:id="rId205" display="http://yale.instructure.com/"/>
    <hyperlink ref="F207" r:id="rId206" display="http://yale.instructure.com/"/>
    <hyperlink ref="F208" r:id="rId207" display="http://yale.instructure.com/"/>
    <hyperlink ref="F209" r:id="rId208" display="http://yale.instructure.com/"/>
    <hyperlink ref="F210" r:id="rId209" display="http://yale.instructure.com/"/>
    <hyperlink ref="F211" r:id="rId210" display="http://yale.instructure.com/"/>
    <hyperlink ref="F212" r:id="rId211" display="http://yale.instructure.com/"/>
    <hyperlink ref="F213" r:id="rId212" display="http://yale.instructure.com/"/>
    <hyperlink ref="F214" r:id="rId213" display="http://yale.instructure.com/"/>
    <hyperlink ref="F215" r:id="rId214" display="http://yale.instructure.com/"/>
    <hyperlink ref="F216" r:id="rId215" display="http://yale.instructure.com/"/>
    <hyperlink ref="F217" r:id="rId216" display="http://yale.instructure.com/"/>
    <hyperlink ref="F218" r:id="rId217" display="http://yale.instructure.com/"/>
    <hyperlink ref="F219" r:id="rId218" display="http://yale.instructure.com/"/>
    <hyperlink ref="F220" r:id="rId219" display="http://yale.instructure.com/"/>
    <hyperlink ref="F221" r:id="rId220" display="http://yale.instructure.com/"/>
    <hyperlink ref="F222" r:id="rId221" display="http://yale.instructure.com/"/>
    <hyperlink ref="F223" r:id="rId222" display="http://yale.instructure.com/"/>
    <hyperlink ref="F224" r:id="rId223" display="http://yale.instructure.com/"/>
    <hyperlink ref="F225" r:id="rId224" display="http://yale.instructure.com/"/>
    <hyperlink ref="F226" r:id="rId225" display="http://yale.instructure.com/"/>
    <hyperlink ref="F227" r:id="rId226" display="http://yale.instructure.com/"/>
    <hyperlink ref="F228" r:id="rId227" display="http://yale.instructure.com/"/>
    <hyperlink ref="F229" r:id="rId228" display="http://yale.instructure.com/"/>
    <hyperlink ref="F230" r:id="rId229" display="http://yale.instructure.com/"/>
    <hyperlink ref="F231" r:id="rId230" display="http://yale.instructure.com/"/>
    <hyperlink ref="F232" r:id="rId231" display="http://yale.instructure.com/"/>
    <hyperlink ref="F233" r:id="rId232" display="http://yale.instructure.com/"/>
    <hyperlink ref="F234" r:id="rId233" display="http://yale.instructure.com/"/>
    <hyperlink ref="F235" r:id="rId234" display="http://yale.instructure.com/"/>
    <hyperlink ref="F236" r:id="rId235" display="http://yale.instructure.com/"/>
    <hyperlink ref="F237" r:id="rId236" display="http://yale.instructure.com/"/>
    <hyperlink ref="F238" r:id="rId237" display="http://yale.instructure.com/"/>
    <hyperlink ref="F239" r:id="rId238" display="http://yale.instructure.com/"/>
    <hyperlink ref="F240" r:id="rId239" display="http://yale.instructure.com/"/>
    <hyperlink ref="F241" r:id="rId240" display="http://yale.instructure.com/"/>
    <hyperlink ref="F242" r:id="rId241" display="http://yale.instructure.com/"/>
    <hyperlink ref="F243" r:id="rId242" display="http://yale.instructure.com/"/>
    <hyperlink ref="F244" r:id="rId243" display="http://yale.instructure.com/"/>
    <hyperlink ref="F245" r:id="rId244" display="http://yale.instructure.com/"/>
    <hyperlink ref="F246" r:id="rId245" display="http://yale.instructure.com/"/>
    <hyperlink ref="F247" r:id="rId246" display="http://yale.instructure.com/"/>
    <hyperlink ref="F248" r:id="rId247" display="http://yale.instructure.com/"/>
    <hyperlink ref="F249" r:id="rId248" display="http://yale.instructure.com/"/>
    <hyperlink ref="F250" r:id="rId249" display="http://yale.instructure.com/"/>
    <hyperlink ref="F251" r:id="rId250" display="http://yale.instructure.com/"/>
    <hyperlink ref="F252" r:id="rId251" display="http://yale.instructure.com/"/>
    <hyperlink ref="F253" r:id="rId252" display="http://yale.instructure.com/"/>
    <hyperlink ref="F254" r:id="rId253" display="http://yale.instructure.com/"/>
    <hyperlink ref="F255" r:id="rId254" display="http://yale.instructure.com/"/>
    <hyperlink ref="F256" r:id="rId255" display="http://yale.instructure.com/"/>
    <hyperlink ref="F257" r:id="rId256" display="http://yale.instructure.com/"/>
    <hyperlink ref="F258" r:id="rId257" display="http://yale.instructure.com/"/>
    <hyperlink ref="F259" r:id="rId258" display="http://yale.instructure.com/"/>
    <hyperlink ref="F260" r:id="rId259" display="http://yale.instructure.com/"/>
    <hyperlink ref="F261" r:id="rId260" display="http://yale.instructure.com/"/>
    <hyperlink ref="F262" r:id="rId261" display="http://yale.instructure.com/"/>
    <hyperlink ref="F263" r:id="rId262" display="http://yale.instructure.com/"/>
    <hyperlink ref="F264" r:id="rId263" display="http://yale.instructure.com/"/>
    <hyperlink ref="F265" r:id="rId264" display="http://yale.instructure.com/"/>
    <hyperlink ref="F266" r:id="rId265" display="http://yale.instructure.com/"/>
    <hyperlink ref="F267" r:id="rId266" display="http://yale.instructure.com/"/>
    <hyperlink ref="F268" r:id="rId267" display="http://yale.instructure.com/"/>
    <hyperlink ref="F269" r:id="rId268" display="http://yale.instructure.com/"/>
    <hyperlink ref="F270" r:id="rId269" display="http://yale.instructure.com/"/>
    <hyperlink ref="F271" r:id="rId270" display="http://yale.instructure.com/"/>
    <hyperlink ref="F272" r:id="rId271" display="http://yale.instructure.com/"/>
    <hyperlink ref="F273" r:id="rId272" display="http://yale.instructure.com/"/>
    <hyperlink ref="F274" r:id="rId273" display="http://yale.instructure.com/"/>
    <hyperlink ref="F275" r:id="rId274" display="http://yale.instructure.com/"/>
    <hyperlink ref="F276" r:id="rId275" display="http://yale.instructure.com/"/>
    <hyperlink ref="F277" r:id="rId276" display="http://yale.instructure.com/"/>
    <hyperlink ref="F278" r:id="rId277" display="http://yale.instructure.com/"/>
    <hyperlink ref="F279" r:id="rId278" display="http://yale.instructure.com/"/>
    <hyperlink ref="F280" r:id="rId279" display="http://yale.instructure.com/"/>
    <hyperlink ref="F281" r:id="rId280" display="http://yale.instructure.com/"/>
    <hyperlink ref="F282" r:id="rId281" display="http://yale.instructure.com/"/>
    <hyperlink ref="F283" r:id="rId282" display="http://yale.instructure.com/"/>
    <hyperlink ref="F284" r:id="rId283" display="http://yale.instructure.com/"/>
    <hyperlink ref="F285" r:id="rId284" display="http://yale.instructure.com/"/>
    <hyperlink ref="F286" r:id="rId285" display="http://yale.instructure.com/"/>
    <hyperlink ref="F287" r:id="rId286" display="http://yale.instructure.com/"/>
    <hyperlink ref="F288" r:id="rId287" display="http://yale.instructure.com/"/>
    <hyperlink ref="F289" r:id="rId288" display="http://yale.instructure.com/"/>
    <hyperlink ref="F290" r:id="rId289" display="http://yale.instructure.com/"/>
    <hyperlink ref="F291" r:id="rId290" display="http://yale.instructure.com/"/>
    <hyperlink ref="F292" r:id="rId291" display="http://yale.instructure.com/"/>
    <hyperlink ref="F293" r:id="rId292" display="http://yale.instructure.com/"/>
    <hyperlink ref="F294" r:id="rId293" display="http://yale.instructure.com/"/>
    <hyperlink ref="F295" r:id="rId294" display="http://yale.instructure.com/"/>
    <hyperlink ref="F296" r:id="rId295" display="http://yale.instructure.com/"/>
    <hyperlink ref="F297" r:id="rId296" display="http://yale.instructure.com/"/>
    <hyperlink ref="F298" r:id="rId297" display="http://yale.instructure.com/"/>
    <hyperlink ref="F299" r:id="rId298" display="http://yale.instructure.com/"/>
    <hyperlink ref="F300" r:id="rId299" display="http://yale.instructure.com/"/>
    <hyperlink ref="F301" r:id="rId300" display="http://yale.instructure.com/"/>
    <hyperlink ref="F302" r:id="rId301" display="http://yale.instructure.com/"/>
    <hyperlink ref="F303" r:id="rId302" display="http://yale.instructure.com/"/>
    <hyperlink ref="F304" r:id="rId303" display="http://yale.instructure.com/"/>
    <hyperlink ref="F305" r:id="rId304" display="http://yale.instructure.com/"/>
    <hyperlink ref="F306" r:id="rId305" display="http://yale.instructure.com/"/>
    <hyperlink ref="F307" r:id="rId306" display="http://yale.instructure.com/"/>
    <hyperlink ref="F308" r:id="rId307" display="http://yale.instructure.com/"/>
    <hyperlink ref="F309" r:id="rId308" display="http://yale.instructure.com/"/>
    <hyperlink ref="F310" r:id="rId309" display="http://yale.instructure.com/"/>
    <hyperlink ref="F311" r:id="rId310" display="http://yale.instructure.com/"/>
    <hyperlink ref="F312" r:id="rId311" display="http://yale.instructure.com/"/>
    <hyperlink ref="F313" r:id="rId312" display="http://yale.instructure.com/"/>
    <hyperlink ref="F314" r:id="rId313" display="http://yale.instructure.com/"/>
    <hyperlink ref="F315" r:id="rId314" display="http://yale.instructure.com/"/>
    <hyperlink ref="F316" r:id="rId315" display="http://yale.instructure.com/"/>
    <hyperlink ref="F317" r:id="rId316" display="http://yale.instructure.com/"/>
    <hyperlink ref="F318" r:id="rId317" display="http://yale.instructure.com/"/>
    <hyperlink ref="F319" r:id="rId318" display="http://yale.instructure.com/"/>
    <hyperlink ref="F320" r:id="rId319" display="http://yale.instructure.com/"/>
    <hyperlink ref="F321" r:id="rId320" display="http://yale.instructure.com/"/>
    <hyperlink ref="F322" r:id="rId321" display="http://yale.instructure.com/"/>
    <hyperlink ref="F323" r:id="rId322" display="http://yale.instructure.com/"/>
    <hyperlink ref="F324" r:id="rId323" display="http://yale.instructure.com/"/>
    <hyperlink ref="F325" r:id="rId324" display="http://yale.instructure.com/"/>
    <hyperlink ref="F326" r:id="rId325" display="http://yale.instructure.com/"/>
    <hyperlink ref="F327" r:id="rId326" display="http://yale.instructure.com/"/>
    <hyperlink ref="F328" r:id="rId327" display="http://yale.instructure.com/"/>
    <hyperlink ref="F329" r:id="rId328" display="http://yale.instructure.com/"/>
    <hyperlink ref="F330" r:id="rId329" display="http://yale.instructure.com/"/>
    <hyperlink ref="F331" r:id="rId330" display="http://yale.instructure.com/"/>
    <hyperlink ref="F332" r:id="rId331" display="http://yale.instructure.com/"/>
    <hyperlink ref="F333" r:id="rId332" display="http://yale.instructure.com/"/>
    <hyperlink ref="F334" r:id="rId333" display="http://yale.instructure.com/"/>
    <hyperlink ref="F335" r:id="rId334" display="http://yale.instructure.com/"/>
    <hyperlink ref="F336" r:id="rId335" display="http://yale.instructure.com/"/>
    <hyperlink ref="F337" r:id="rId336" display="http://yale.instructure.com/"/>
    <hyperlink ref="F338" r:id="rId337" display="http://yale.instructure.com/"/>
    <hyperlink ref="F339" r:id="rId338" display="http://yale.instructure.com/"/>
    <hyperlink ref="F340" r:id="rId339" display="http://yale.instructure.com/"/>
    <hyperlink ref="F341" r:id="rId340" display="http://yale.instructure.com/"/>
    <hyperlink ref="F342" r:id="rId341" display="http://yale.instructure.com/"/>
    <hyperlink ref="F343" r:id="rId342" display="http://yale.instructure.com/"/>
    <hyperlink ref="F344" r:id="rId343" display="http://yale.instructure.com/"/>
    <hyperlink ref="F345" r:id="rId344" display="http://yale.instructure.com/"/>
    <hyperlink ref="F346" r:id="rId345" display="http://yale.instructure.com/"/>
    <hyperlink ref="F347" r:id="rId346" display="http://yale.instructure.com/"/>
    <hyperlink ref="F348" r:id="rId347" display="http://yale.instructure.com/"/>
    <hyperlink ref="F349" r:id="rId348" display="http://yale.instructure.com/"/>
    <hyperlink ref="F350" r:id="rId349" display="http://yale.instructure.com/"/>
    <hyperlink ref="F351" r:id="rId350" display="http://yale.instructure.com/"/>
    <hyperlink ref="F352" r:id="rId351" display="http://yale.instructure.com/"/>
    <hyperlink ref="F353" r:id="rId352" display="http://yale.instructure.com/"/>
    <hyperlink ref="F354" r:id="rId353" display="http://yale.instructure.com/"/>
    <hyperlink ref="F355" r:id="rId354" display="http://yale.instructure.com/"/>
    <hyperlink ref="F356" r:id="rId355" display="http://yale.instructure.com/"/>
    <hyperlink ref="F357" r:id="rId356" display="http://yale.instructure.com/"/>
    <hyperlink ref="F358" r:id="rId357" display="http://yale.instructure.com/"/>
    <hyperlink ref="F359" r:id="rId358" display="http://yale.instructure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2019-10-16T1414_Grades-MGT_404_</vt:lpstr>
      <vt:lpstr>csv</vt:lpstr>
      <vt:lpstr>exam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Sinkinson, Michael</dc:creator>
  <cp:lastModifiedBy>Sinkinson, Michael</cp:lastModifiedBy>
  <dcterms:created xsi:type="dcterms:W3CDTF">2019-10-16T18:27:11Z</dcterms:created>
  <dcterms:modified xsi:type="dcterms:W3CDTF">2019-11-13T00:53:03Z</dcterms:modified>
</cp:coreProperties>
</file>